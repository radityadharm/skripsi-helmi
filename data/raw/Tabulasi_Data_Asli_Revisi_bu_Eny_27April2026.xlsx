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riteria Sampel" sheetId="1" r:id="rId4"/>
    <sheet state="visible" name="Laporan Tahunan" sheetId="2" r:id="rId5"/>
    <sheet state="visible" name="Tidak Merugi" sheetId="3" r:id="rId6"/>
    <sheet state="visible" name="Menyediakan Informasi" sheetId="4" r:id="rId7"/>
    <sheet state="visible" name="Sampel" sheetId="5" r:id="rId8"/>
    <sheet state="visible" name="Sampel Penelitian" sheetId="6" r:id="rId9"/>
    <sheet state="visible" name="KI" sheetId="7" r:id="rId10"/>
    <sheet state="visible" name="KA" sheetId="8" r:id="rId11"/>
    <sheet state="visible" name="DKI" sheetId="9" r:id="rId12"/>
    <sheet state="visible" name="KG" sheetId="10" r:id="rId13"/>
    <sheet state="visible" name="KM" sheetId="11" r:id="rId14"/>
    <sheet state="visible" name="ETR" sheetId="12" r:id="rId15"/>
    <sheet state="visible" name="Hasil" sheetId="13" r:id="rId16"/>
    <sheet state="visible" name="Revisi bu Eny_Hasil " sheetId="14" r:id="rId17"/>
    <sheet state="visible" name="SPSS" sheetId="15" r:id="rId18"/>
    <sheet state="visible" name="Sheet1" sheetId="16" r:id="rId19"/>
  </sheets>
  <definedNames>
    <definedName hidden="1" localSheetId="12" name="_xlnm._FilterDatabase">Hasil!$B$5:$J$167</definedName>
    <definedName hidden="1" localSheetId="13" name="_xlnm._FilterDatabase">'Revisi bu Eny_Hasil '!$A$6:$AE$6</definedName>
    <definedName hidden="1" localSheetId="14" name="_xlnm._FilterDatabase">SPSS!$A$6:$Z$6</definedName>
  </definedNames>
  <calcPr/>
</workbook>
</file>

<file path=xl/sharedStrings.xml><?xml version="1.0" encoding="utf-8"?>
<sst xmlns="http://schemas.openxmlformats.org/spreadsheetml/2006/main" count="2552" uniqueCount="359">
  <si>
    <r>
      <rPr>
        <rFont val="Calibri"/>
        <color/>
        <sz val="11.0"/>
      </rPr>
      <t xml:space="preserve">Sampel yang terdapat pada penelitian adalah </t>
    </r>
    <r>
      <rPr>
        <rFont val="Calibri"/>
        <color/>
        <sz val="11.0"/>
      </rPr>
      <t>sektor konsumsi barang primer</t>
    </r>
    <r>
      <rPr>
        <rFont val="Calibri"/>
        <color/>
        <sz val="11.0"/>
      </rPr>
      <t xml:space="preserve"> yang tercatat di BEI selama kurun waktu tiga tahun yang dimulai 2022-2024. Sampel dalam penelitian ini diambil berdasarkan ketentuan sebagai berikut:</t>
    </r>
  </si>
  <si>
    <t>1.</t>
  </si>
  <si>
    <r>
      <rPr>
        <rFont val="Times New Roman"/>
        <color rgb="FF000000"/>
        <sz val="11.0"/>
      </rPr>
      <t>Perusahaan konsumsi barang primer</t>
    </r>
    <r>
      <rPr>
        <rFont val="Times New Roman"/>
        <color rgb="FF000000"/>
        <sz val="11.0"/>
      </rPr>
      <t xml:space="preserve"> di BEI yang menerbitkan laporan tahunan (</t>
    </r>
    <r>
      <rPr>
        <rFont val="Times New Roman"/>
        <i/>
        <color rgb="FF000000"/>
        <sz val="11.0"/>
      </rPr>
      <t>annual report</t>
    </r>
    <r>
      <rPr>
        <rFont val="Times New Roman"/>
        <color rgb="FF000000"/>
        <sz val="11.0"/>
      </rPr>
      <t xml:space="preserve">) berturut-turut secara lengkap dapat diakses pada tahun 2022 sampai dengan tahun 2024. </t>
    </r>
  </si>
  <si>
    <t>2.</t>
  </si>
  <si>
    <t>Perusahaan tidak mengalami kerugian pada periode pengamatan tahun 2022 sampai dengan tahun 2024.</t>
  </si>
  <si>
    <t>3.</t>
  </si>
  <si>
    <t>Perusahaan konsumsi barang primer yang menyediakan semua informasi yang dibutuhkan oleh peneliti untuk mengukur variabel-variabel yang ada dalam penelitian ini.</t>
  </si>
  <si>
    <t>PERUSAHAAN SEKTOR RIIL STRATEGIS YANG MENYEDIAKAN</t>
  </si>
  <si>
    <t>LAPORAN TAHUNAN SELAMA PERIODE PENGAMATAN</t>
  </si>
  <si>
    <t>No.</t>
  </si>
  <si>
    <t>SEKTOR</t>
  </si>
  <si>
    <t>KODE</t>
  </si>
  <si>
    <t>NAMA PERUSAHAAN</t>
  </si>
  <si>
    <t>JUMLAH</t>
  </si>
  <si>
    <t>KONSUMSI BARANG PRIMER</t>
  </si>
  <si>
    <t>AALI</t>
  </si>
  <si>
    <t>Astra Agro Lestari Tbk.</t>
  </si>
  <si>
    <t>Konsumsi Barang Primer</t>
  </si>
  <si>
    <t>BISI</t>
  </si>
  <si>
    <t>BISI International Tbk.</t>
  </si>
  <si>
    <t>BUDI</t>
  </si>
  <si>
    <t>Budi Starch &amp; Sweetener Tbk.</t>
  </si>
  <si>
    <t>TRGU</t>
  </si>
  <si>
    <t>Cerestar Indonesia Tbk.</t>
  </si>
  <si>
    <t>CPIN</t>
  </si>
  <si>
    <t>Charoen Pokphand Indonesia Tbk</t>
  </si>
  <si>
    <t>CSRA</t>
  </si>
  <si>
    <t>Cisadane Sawit Raya Tbk.</t>
  </si>
  <si>
    <t>CMRY</t>
  </si>
  <si>
    <t>Cisarua Mountain Dairy Tbk.</t>
  </si>
  <si>
    <t>DLTA</t>
  </si>
  <si>
    <t>Delta Djakarta Tbk.</t>
  </si>
  <si>
    <t>DSNG</t>
  </si>
  <si>
    <t>Dharma Satya Nusantara Tbk.</t>
  </si>
  <si>
    <t>BWPT</t>
  </si>
  <si>
    <t>Eagle High Plantations Tbk.</t>
  </si>
  <si>
    <t>AISA</t>
  </si>
  <si>
    <t>FKS Food Sejahtera Tbk.</t>
  </si>
  <si>
    <t>GOOD</t>
  </si>
  <si>
    <t>Garudafood Putra Putri Jaya Tb</t>
  </si>
  <si>
    <t>GGRM</t>
  </si>
  <si>
    <t>Gudang Garam Tbk.</t>
  </si>
  <si>
    <t>HMSP</t>
  </si>
  <si>
    <t>H.M. Sampoerna Tbk.</t>
  </si>
  <si>
    <t>ICBP</t>
  </si>
  <si>
    <t>Indofood CBP Sukses Makmur Tbk</t>
  </si>
  <si>
    <t>INDF</t>
  </si>
  <si>
    <t>Indofood Sukses Makmur Tbk.</t>
  </si>
  <si>
    <t>JPFA</t>
  </si>
  <si>
    <t>Japfa Comfeed Indonesia Tbk.</t>
  </si>
  <si>
    <t>JARR</t>
  </si>
  <si>
    <t>Jhonlin Agro Raya Tbk.</t>
  </si>
  <si>
    <t>MAIN</t>
  </si>
  <si>
    <t>Malindo Feedmill Tbk.</t>
  </si>
  <si>
    <t>MYOR</t>
  </si>
  <si>
    <t>Mayora Indah Tbk.</t>
  </si>
  <si>
    <t>MKTR</t>
  </si>
  <si>
    <t>Menthobi Karyatama Raya Tbk.</t>
  </si>
  <si>
    <t>MIDI</t>
  </si>
  <si>
    <t>Midi Utama Indonesia Tbk.</t>
  </si>
  <si>
    <t>MLBI</t>
  </si>
  <si>
    <t>Multi Bintang Indonesia Tbk.</t>
  </si>
  <si>
    <t>MLPL</t>
  </si>
  <si>
    <t>Multipolar Tbk.</t>
  </si>
  <si>
    <t>PSGO</t>
  </si>
  <si>
    <t>Palma Serasih Tbk.</t>
  </si>
  <si>
    <t>PNGO</t>
  </si>
  <si>
    <t>Pinago Utama Tbk.</t>
  </si>
  <si>
    <t>LSIP</t>
  </si>
  <si>
    <t>PP London Sumatra Indonesia Tb</t>
  </si>
  <si>
    <t>SIMP</t>
  </si>
  <si>
    <t>Salim Ivomas Pratama Tbk.</t>
  </si>
  <si>
    <t>SGRO</t>
  </si>
  <si>
    <t>Sampoerna Agro Tbk.</t>
  </si>
  <si>
    <t>CLEO</t>
  </si>
  <si>
    <t>Sariguna Primatirta Tbk.</t>
  </si>
  <si>
    <t>SSMS</t>
  </si>
  <si>
    <t>Sawit Sumbermas Sarana Tbk.</t>
  </si>
  <si>
    <t>AMRT</t>
  </si>
  <si>
    <t>Sumber Alfaria Trijaya Tbk.</t>
  </si>
  <si>
    <t>STAA</t>
  </si>
  <si>
    <t>Sumber Tani Agung Resources Tb</t>
  </si>
  <si>
    <t>TAPG</t>
  </si>
  <si>
    <t>Triputra Agro Persada Tbk.</t>
  </si>
  <si>
    <t>TBLA</t>
  </si>
  <si>
    <t>Tunas Baru Lampung Tbk.</t>
  </si>
  <si>
    <t>ULTJ</t>
  </si>
  <si>
    <t>Ultrajaya Milk Industry &amp; Trad</t>
  </si>
  <si>
    <t>UCID</t>
  </si>
  <si>
    <t>Uni-Charm Indonesia Tbk.</t>
  </si>
  <si>
    <t>UNVR</t>
  </si>
  <si>
    <t>Unilever Indonesia Tbk.</t>
  </si>
  <si>
    <t>VICI</t>
  </si>
  <si>
    <t>Victoria Care Indonesia Tbk.</t>
  </si>
  <si>
    <t>WIIM</t>
  </si>
  <si>
    <t>Wismilak Inti Makmur Tbk.</t>
  </si>
  <si>
    <t>YUPI</t>
  </si>
  <si>
    <t>Yupi Indo Jelly Gum Tbk.</t>
  </si>
  <si>
    <t>ADES</t>
  </si>
  <si>
    <t>Akasha Wira International Tbk.</t>
  </si>
  <si>
    <t>GULA</t>
  </si>
  <si>
    <t>Aman Agrindo Tbk.</t>
  </si>
  <si>
    <t>AGAR</t>
  </si>
  <si>
    <t>Asia Sejahtera Mina Tbk.</t>
  </si>
  <si>
    <t>ANJT</t>
  </si>
  <si>
    <t>Austindo Nusantara Jaya Tbk.</t>
  </si>
  <si>
    <t>HOKI</t>
  </si>
  <si>
    <t>Buyung Poetra Sembada Tbk.</t>
  </si>
  <si>
    <t>CAMP</t>
  </si>
  <si>
    <t>Campina Ice Cream Industry Tbk</t>
  </si>
  <si>
    <t>CPRO</t>
  </si>
  <si>
    <t>Central Proteina Prima Tbk.</t>
  </si>
  <si>
    <t>CBUT</t>
  </si>
  <si>
    <t>Citra Borneo Utama Tbk.</t>
  </si>
  <si>
    <t>DEWI</t>
  </si>
  <si>
    <t>Dewi Shri Farmindo Tbk.</t>
  </si>
  <si>
    <t>HERO</t>
  </si>
  <si>
    <t>DFI Retail Nusantara Tbk.</t>
  </si>
  <si>
    <t>DSFI</t>
  </si>
  <si>
    <t>Dharma Samudera Fishing Indust</t>
  </si>
  <si>
    <t>DMND</t>
  </si>
  <si>
    <t>Diamond Food Indonesia Tbk.</t>
  </si>
  <si>
    <t>DPUM</t>
  </si>
  <si>
    <t>Dua Putra Utama Makmur Tbk.</t>
  </si>
  <si>
    <t>DAYA</t>
  </si>
  <si>
    <t>Duta Intidaya Tbk.</t>
  </si>
  <si>
    <t>EPMT</t>
  </si>
  <si>
    <t>Enseval Putera Megatrading Tbk</t>
  </si>
  <si>
    <t>IKAN</t>
  </si>
  <si>
    <t>Era Mandiri Cemerlang Tbk.</t>
  </si>
  <si>
    <t>NEST</t>
  </si>
  <si>
    <t>Esta Indonesia Tbk.</t>
  </si>
  <si>
    <t>BEEF</t>
  </si>
  <si>
    <t>Estika Tata Tiara Tbk.</t>
  </si>
  <si>
    <t>FAPA</t>
  </si>
  <si>
    <t>FAP Agri Tbk.</t>
  </si>
  <si>
    <t>FORE</t>
  </si>
  <si>
    <t>Fore Kopi Indonesia Tbk.</t>
  </si>
  <si>
    <t>BOBA</t>
  </si>
  <si>
    <t>Formosa Ingredient Factory Tbk</t>
  </si>
  <si>
    <t>GZCO</t>
  </si>
  <si>
    <t>Gozco Plantations Tbk.</t>
  </si>
  <si>
    <t>GUNA</t>
  </si>
  <si>
    <t>Gunanusa Eramandiri Tbk.</t>
  </si>
  <si>
    <t>WINE</t>
  </si>
  <si>
    <t>Hatten Bali Tbk.</t>
  </si>
  <si>
    <t>ISEA</t>
  </si>
  <si>
    <t>Indo American Seafoods Tbk.</t>
  </si>
  <si>
    <t>OILS</t>
  </si>
  <si>
    <t>Indo Oil Perkasa Tbk.</t>
  </si>
  <si>
    <t>ITIC</t>
  </si>
  <si>
    <t>Indonesian Tobacco Tbk.</t>
  </si>
  <si>
    <t>AYAM</t>
  </si>
  <si>
    <t>Janu Putra Sejahtera Tbk.</t>
  </si>
  <si>
    <t>JAWA</t>
  </si>
  <si>
    <t>Jaya Agra Wattie Tbk.</t>
  </si>
  <si>
    <t>TAYS</t>
  </si>
  <si>
    <t>Jaya Swarasa Agung Tbk.</t>
  </si>
  <si>
    <t>BEER</t>
  </si>
  <si>
    <t>Jobubu Jarum Minahasa Tbk.</t>
  </si>
  <si>
    <t>KINO</t>
  </si>
  <si>
    <t>Kino Indonesia Tbk.</t>
  </si>
  <si>
    <t>KMDS</t>
  </si>
  <si>
    <t>Kurniamitra Duta Sentosa Tbk.</t>
  </si>
  <si>
    <t>STRK</t>
  </si>
  <si>
    <t>Lovina Beach Brewery Tbk.</t>
  </si>
  <si>
    <t>MGRO</t>
  </si>
  <si>
    <t>Mahkota Group Tbk.</t>
  </si>
  <si>
    <t>TCID</t>
  </si>
  <si>
    <t>Mandom Indonesia Tbk.</t>
  </si>
  <si>
    <t>MBTO</t>
  </si>
  <si>
    <t>Martina Berto Tbk.</t>
  </si>
  <si>
    <t>MPPA</t>
  </si>
  <si>
    <t>Matahari Putra Prima Tbk.</t>
  </si>
  <si>
    <t>MAXI</t>
  </si>
  <si>
    <t>Maxindo Karya Anugerah Tbk.</t>
  </si>
  <si>
    <t>SDPC</t>
  </si>
  <si>
    <t>Millennium Pharmacon Internati</t>
  </si>
  <si>
    <t>KEJU</t>
  </si>
  <si>
    <t>Mulia Boga Raya Tbk.</t>
  </si>
  <si>
    <t>MSJA</t>
  </si>
  <si>
    <t>Multi Spunindo Jaya Tbk.</t>
  </si>
  <si>
    <t>MRAT</t>
  </si>
  <si>
    <t>Mustika Ratu Tbk.</t>
  </si>
  <si>
    <t>ROTI</t>
  </si>
  <si>
    <t>Nippon Indosari Corpindo Tbk.</t>
  </si>
  <si>
    <t>NSSS</t>
  </si>
  <si>
    <t>Nusantara Sawit Sejahtera Tbk.</t>
  </si>
  <si>
    <t>PMMP</t>
  </si>
  <si>
    <t>Panca Mitra Multiperdana Tbk.</t>
  </si>
  <si>
    <t>PGUN</t>
  </si>
  <si>
    <t>Pradiksi Gunatama Tbk.</t>
  </si>
  <si>
    <t>PSDN</t>
  </si>
  <si>
    <t>Prasidha Aneka Niaga Tbk</t>
  </si>
  <si>
    <t>PTPS</t>
  </si>
  <si>
    <t>Pulau Subur Tbk.</t>
  </si>
  <si>
    <t>BRRC</t>
  </si>
  <si>
    <t>Raja Roti Cemerlang Tbk.</t>
  </si>
  <si>
    <t>BUAH</t>
  </si>
  <si>
    <t>Segar Kumala Indonesia Tbk.</t>
  </si>
  <si>
    <t>SKBM</t>
  </si>
  <si>
    <t>Sekar Bumi Tbk.</t>
  </si>
  <si>
    <t>SKLT</t>
  </si>
  <si>
    <t>Sekar Laut Tbk.</t>
  </si>
  <si>
    <t>STTP</t>
  </si>
  <si>
    <t>Siantar Top Tbk.</t>
  </si>
  <si>
    <t>SMAR</t>
  </si>
  <si>
    <t>Smart Tbk.</t>
  </si>
  <si>
    <t>RANC</t>
  </si>
  <si>
    <t>Supra Boga Lestari Tbk.</t>
  </si>
  <si>
    <t>TLDN</t>
  </si>
  <si>
    <t>Teladan Prima Agro Tbk.</t>
  </si>
  <si>
    <t>TGKA</t>
  </si>
  <si>
    <t>Tigaraksa Satria Tbk.</t>
  </si>
  <si>
    <t>CRAB</t>
  </si>
  <si>
    <t>Toba Surimi Industries Tbk.</t>
  </si>
  <si>
    <t>COCO</t>
  </si>
  <si>
    <t>Wahana Interfood Nusantara Tbk</t>
  </si>
  <si>
    <t>NASI</t>
  </si>
  <si>
    <t>Wahana Inti Makmur Tbk.</t>
  </si>
  <si>
    <t>WAPO</t>
  </si>
  <si>
    <t>Wahana Pronatural Tbk.</t>
  </si>
  <si>
    <t>CEKA</t>
  </si>
  <si>
    <t>Wilmar Cahaya Indonesia Tbk.</t>
  </si>
  <si>
    <t>ANDI</t>
  </si>
  <si>
    <t>Andira Agro Tbk.</t>
  </si>
  <si>
    <t>UNSP</t>
  </si>
  <si>
    <t>Bakrie Sumatera Plantations Tb</t>
  </si>
  <si>
    <t>BTEK</t>
  </si>
  <si>
    <t>Bumi Teknokultura Unggul Tbk</t>
  </si>
  <si>
    <t>ASHA</t>
  </si>
  <si>
    <t>Cilacap Samudera Fishing Indus</t>
  </si>
  <si>
    <t>KPAS</t>
  </si>
  <si>
    <t>Cottonindo Ariesta Tbk.</t>
  </si>
  <si>
    <t>FISH</t>
  </si>
  <si>
    <t>FKS Multi Agro Tbk.</t>
  </si>
  <si>
    <t>GOLL</t>
  </si>
  <si>
    <t>Golden Plantation Tbk.</t>
  </si>
  <si>
    <t>IPPE</t>
  </si>
  <si>
    <t>Indo Pureco Pratama Tbk.</t>
  </si>
  <si>
    <t>LAPD</t>
  </si>
  <si>
    <t>Leyand International Tbk.</t>
  </si>
  <si>
    <t>ENZO</t>
  </si>
  <si>
    <t>Morenzo Abadi Perkasa Tbk.</t>
  </si>
  <si>
    <t>MAGP</t>
  </si>
  <si>
    <t>Multi Agro Gemilang Plantation</t>
  </si>
  <si>
    <t>TGUK</t>
  </si>
  <si>
    <t>Platinum Wahab Nusantara Tbk.</t>
  </si>
  <si>
    <t>PCAR</t>
  </si>
  <si>
    <t>Prima Cakrawala Abadi Tbk.</t>
  </si>
  <si>
    <t>FOOD</t>
  </si>
  <si>
    <t>Sentra Food Indonesia Tbk.</t>
  </si>
  <si>
    <t>SIPD</t>
  </si>
  <si>
    <t>Sreeya Sewu Indonesia Tbk.</t>
  </si>
  <si>
    <t>ALTO</t>
  </si>
  <si>
    <t>Tri Banyan Tirta Tbk.</t>
  </si>
  <si>
    <t>WICO</t>
  </si>
  <si>
    <t>Wicaksana Overseas Internation</t>
  </si>
  <si>
    <t>WMPP</t>
  </si>
  <si>
    <t>Widodo Makmur Perkasa Tbk.</t>
  </si>
  <si>
    <t>WMUU</t>
  </si>
  <si>
    <t>Widodo Makmur Unggas Tbk.</t>
  </si>
  <si>
    <t>Keterangan:</t>
  </si>
  <si>
    <t>Tidak menyediakan laporan tahunan selama periode pengamatan</t>
  </si>
  <si>
    <t>KETERANGAN</t>
  </si>
  <si>
    <t xml:space="preserve">Jumlah Perusahaan sektor Riil Strategis yang Terdaftar di Bursa Efek Indonesia Selama Periode Pengamatan </t>
  </si>
  <si>
    <t>Jumlah Perusahaan sektor Riil Strategis yang Tidak Menyajikan Laporan Tahunan Selama Periode Pengamatan</t>
  </si>
  <si>
    <t>TOTAL PERUSAHAAN YANG MENYEDIAKAN LAPORAN TAHUNAN SELAMA PERIODE PENGAMATAN</t>
  </si>
  <si>
    <t>PERUSAHAAN SEKTOR RIIL STRATEGIS YANG TIDAK MENGALAMI</t>
  </si>
  <si>
    <t>KERUGIAN SELAMA PERIODE PENGAMATAN</t>
  </si>
  <si>
    <t>Mengalami kerugian pada periode pengamatan</t>
  </si>
  <si>
    <t>Jumlah Perusahaan mengalami kerugian pada periode pengamatan tahun 2022-2024</t>
  </si>
  <si>
    <t>TOTAL PERUSAHAAN YANG TIDAK MENGALAMI KERUGIAN PADA PERIODE PENGAMATAN</t>
  </si>
  <si>
    <t>PERUSAHAAN SEKTOR RIIL STRATEGIS YANG MENYEDIAKAN SEMUA INFORMASI</t>
  </si>
  <si>
    <t>YANG DIBUTUHKAN PENELITI UNTUK MENGUKUR VARIABEL-VARIABEL PENELITIAN</t>
  </si>
  <si>
    <t>KET</t>
  </si>
  <si>
    <t>IPO Januari 2023</t>
  </si>
  <si>
    <t>Kepemilikan institusional tidak dapat diverifikasi</t>
  </si>
  <si>
    <t xml:space="preserve">IPO Agustus 2022 </t>
  </si>
  <si>
    <t>Laporan Keuangan tidak Lengkap</t>
  </si>
  <si>
    <t>Listing November 2022</t>
  </si>
  <si>
    <t>Baru Listing di Agustus 2022</t>
  </si>
  <si>
    <t>Baru Listing di Juli 2022</t>
  </si>
  <si>
    <t>Baru listing Agustus 2022</t>
  </si>
  <si>
    <t>tidak menyajikan data yang cukup untuk mengidentifikasi jumlah direksi perempuan</t>
  </si>
  <si>
    <t>IPO November 2022</t>
  </si>
  <si>
    <t>tidak menyajikan struktur Komite Audit terpisah.</t>
  </si>
  <si>
    <t>Listing Maret 2023</t>
  </si>
  <si>
    <t>tidak menyajikan rekap eksplisit jumlah saham institusional</t>
  </si>
  <si>
    <t>Kepemilikan institusional tidak dapat diidentifikasi</t>
  </si>
  <si>
    <t>Listing Maret 2022</t>
  </si>
  <si>
    <t>Listing April 2022</t>
  </si>
  <si>
    <t>Listing Januari 2023</t>
  </si>
  <si>
    <t>Tidak menyediakan informasi yang dibutuhkan peneliti untuk mengukur variabel-variabel penelitian</t>
  </si>
  <si>
    <t>Jumlah Perusahaan sektor Riil Strategis yang Terdaftar di BEI yang tidak menyediakan informasi yang dibutuhkan peneliti untuk mengukur variabel-variabel yang ada dalam penelirian ini</t>
  </si>
  <si>
    <t>TOTAL PERUSAHAAN YANG MENYEDIAKAN INFORMASI YANG DIBUTUHKAN PENELITI UNTUK MENGUKUR VARIABEL-VARIABEL YANG ADA DALAM PENELITIAN INI</t>
  </si>
  <si>
    <t>No</t>
  </si>
  <si>
    <t>Kriteria</t>
  </si>
  <si>
    <t>Jumlah</t>
  </si>
  <si>
    <t>Perusahaan sektor riil strategis yang terdaftar di Bursa Efek Indonesia selama periode 2022-2024</t>
  </si>
  <si>
    <t>Perusahaan sektor riil strategis yang tidak menyajikan laporan tahunan selama periode pengamatan</t>
  </si>
  <si>
    <t>Perusahaan sektor riil strategis yang mengalami kerugian saat periode pengamatan</t>
  </si>
  <si>
    <t>Perusahaan tidak menyajikan laporan keuangan sesuai informasi yang diperlukan</t>
  </si>
  <si>
    <t>Sampel Penelitian</t>
  </si>
  <si>
    <t>Tahun Penelitian</t>
  </si>
  <si>
    <t>Jumlah Sampel Penelitian</t>
  </si>
  <si>
    <t>SAMPEL PENELITIAN</t>
  </si>
  <si>
    <t>PERUSAHAAN SEKTOR RIIL STRATEGIS YANG TERDAFTAR DI BURSA EFEK INDONESIA SELAMA PERIODE 2022-2024</t>
  </si>
  <si>
    <t>KEPEMILIKAN INSTITUSIONAL (X1)</t>
  </si>
  <si>
    <t>JUMLAH SAHAM INSTITUSIONAL</t>
  </si>
  <si>
    <t>TOTAL SAHAM BEREDAR</t>
  </si>
  <si>
    <t>HASIL X1</t>
  </si>
  <si>
    <t>KOMITE AUDIT (X2)</t>
  </si>
  <si>
    <t>TOTAL KOMITE AUDIT</t>
  </si>
  <si>
    <t>HASIL X2</t>
  </si>
  <si>
    <t>SKOR</t>
  </si>
  <si>
    <t>DEWAN KOMISARIS INDEPENDEN (X3)</t>
  </si>
  <si>
    <t>JUMLAH DEWAN KOMISARIS INDEPENDEN</t>
  </si>
  <si>
    <t>TOTAL DEWAN KOMISARIS</t>
  </si>
  <si>
    <t>HASIL X3</t>
  </si>
  <si>
    <t>KEBERAGAMAN GENDER (X4)</t>
  </si>
  <si>
    <t>JUMLAH DIREKSI PEREMPUAN</t>
  </si>
  <si>
    <t>TOTAL DIREKSI</t>
  </si>
  <si>
    <t>HASIL X4</t>
  </si>
  <si>
    <t>KEPEMILIKAN MANAJERIAL (X5)</t>
  </si>
  <si>
    <t>JMLH SAHAM MANAJEMEN</t>
  </si>
  <si>
    <t>HASIL X5</t>
  </si>
  <si>
    <t>EFFECTIVE TAX RATE (Y)</t>
  </si>
  <si>
    <t>BEBAN PAJAK PENGHASILAN</t>
  </si>
  <si>
    <t>LABA SEBELUM PAJAK</t>
  </si>
  <si>
    <t>TAHUN</t>
  </si>
  <si>
    <t>X1</t>
  </si>
  <si>
    <t>X2</t>
  </si>
  <si>
    <t>X3</t>
  </si>
  <si>
    <t>X4</t>
  </si>
  <si>
    <t>X5</t>
  </si>
  <si>
    <t>Y</t>
  </si>
  <si>
    <t>Kepemilikan Institusional</t>
  </si>
  <si>
    <t>Komite Audit</t>
  </si>
  <si>
    <t>Dewan Komisaris Independen</t>
  </si>
  <si>
    <t>Keberagaman Gender</t>
  </si>
  <si>
    <t>Kepemilikan Manajerial</t>
  </si>
  <si>
    <t>Effective Tax Rate</t>
  </si>
  <si>
    <t>KI = Jumlah Saham Institusional/Jumlah Saham Beredar</t>
  </si>
  <si>
    <t>KA = Total Anggota Komite Audit</t>
  </si>
  <si>
    <t>DKI = Jumlah Dewan Komisaris Independen/Jumlah Dewan Komisaris</t>
  </si>
  <si>
    <t>KG = Jumlah Anggota Direksi perempuan/Total Anggota Direksi</t>
  </si>
  <si>
    <t>KM = Jumlah Saham Manajemen/Total Saham Beredar</t>
  </si>
  <si>
    <t>CETR = Beban Pajak/Laba Sebelum Pajak</t>
  </si>
  <si>
    <t>Minimum</t>
  </si>
  <si>
    <t>Average</t>
  </si>
  <si>
    <t>Maksimum</t>
  </si>
  <si>
    <t>OKE</t>
  </si>
  <si>
    <t>REVISI</t>
  </si>
  <si>
    <t>Cash Effective Tax Rate</t>
  </si>
  <si>
    <t>ETR tidak normal karena beban pajak penghasilan konsolidasian lebih besar daripada laba sebelum pajak. Beban pajak terutama berasal dari entitas anak, sedangkan MLPL induk mencatat rugi fiskal.</t>
  </si>
  <si>
    <t>0.58562</t>
  </si>
  <si>
    <t>0.40000</t>
  </si>
  <si>
    <t>0.00000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</si>
</sst>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"/>
    <numFmt numFmtId="165" formatCode="_-* #,##0.00000_-;\-* #,##0.00000_-;_-* &quot;-&quot;??_-;_-@"/>
    <numFmt numFmtId="166" formatCode="_-* #,##0_-;\-* #,##0_-;_-* &quot;-&quot;_-;_-@"/>
    <numFmt numFmtId="167" formatCode="_-* #,##0_-;\-* #,##0_-;_-* &quot;-&quot;??_-;_-@"/>
    <numFmt numFmtId="168" formatCode="0.0000"/>
  </numFmts>
  <fonts count="20">
    <font>
      <sz val="11.0"/>
      <color/>
      <name val="Arial"/>
      <scheme val="minor"/>
    </font>
    <font>
      <sz val="11.0"/>
      <color/>
      <name val="Calibri"/>
    </font>
    <font/>
    <font>
      <sz val="11.0"/>
      <color rgb="FF000000"/>
      <name val="Times New Roman"/>
    </font>
    <font>
      <sz val="11.0"/>
      <color/>
      <name val="Times New Roman"/>
    </font>
    <font>
      <b/>
      <sz val="11.0"/>
      <color/>
      <name val="Times New Roman"/>
    </font>
    <font>
      <b/>
      <sz val="11.0"/>
      <color/>
      <name val="Calibri"/>
    </font>
    <font>
      <b/>
      <sz val="14.0"/>
      <color/>
      <name val="Calibri"/>
    </font>
    <font>
      <sz val="11.0"/>
      <color rgb="FF1F1F1F"/>
      <name val="&quot;Google Sans Text&quot;"/>
    </font>
    <font>
      <b/>
      <sz val="11.0"/>
      <color rgb="FF1F1F1F"/>
      <name val="&quot;Google Sans Text&quot;"/>
    </font>
    <font>
      <b/>
      <sz val="16.0"/>
      <color/>
      <name val="Calibri"/>
    </font>
    <font>
      <sz val="11.0"/>
      <color/>
      <name val="Arial"/>
    </font>
    <font>
      <sz val="11.0"/>
      <name val="Calibri"/>
    </font>
    <font>
      <sz val="11.0"/>
      <color rgb="FF000000"/>
      <name val="Calibri"/>
    </font>
    <font>
      <b/>
      <sz val="11.0"/>
      <name val="Times New Roman"/>
    </font>
    <font>
      <b/>
      <sz val="11.0"/>
      <color rgb="FF000000"/>
      <name val="Calibri"/>
    </font>
    <font>
      <b/>
      <sz val="11.0"/>
      <color rgb="FF000000"/>
      <name val="Times New Roman"/>
    </font>
    <font>
      <b/>
      <i/>
      <sz val="11.0"/>
      <color rgb="FF000000"/>
      <name val="Calibri"/>
    </font>
    <font>
      <sz val="10.0"/>
      <color rgb="FF111827"/>
      <name val="Times New Roman"/>
    </font>
    <font>
      <b/>
      <sz val="10.0"/>
      <color rgb="FF111827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A4C2F4"/>
        <bgColor rgb="FFA4C2F4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4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CCCCCC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0" fillId="0" fontId="4" numFmtId="0" xfId="0" applyFont="1"/>
    <xf borderId="13" fillId="0" fontId="5" numFmtId="0" xfId="0" applyAlignment="1" applyBorder="1" applyFont="1">
      <alignment horizontal="center" shrinkToFit="0" wrapText="1"/>
    </xf>
    <xf borderId="14" fillId="0" fontId="2" numFmtId="0" xfId="0" applyBorder="1" applyFont="1"/>
    <xf borderId="15" fillId="0" fontId="2" numFmtId="0" xfId="0" applyBorder="1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16" fillId="2" fontId="6" numFmtId="0" xfId="0" applyAlignment="1" applyBorder="1" applyFill="1" applyFont="1">
      <alignment horizontal="center" shrinkToFit="0" wrapText="1"/>
    </xf>
    <xf borderId="16" fillId="2" fontId="6" numFmtId="0" xfId="0" applyAlignment="1" applyBorder="1" applyFont="1">
      <alignment horizontal="center" shrinkToFit="0" vertical="top" wrapText="1"/>
    </xf>
    <xf borderId="16" fillId="2" fontId="6" numFmtId="0" xfId="0" applyAlignment="1" applyBorder="1" applyFont="1">
      <alignment horizontal="left" shrinkToFit="0" vertical="top" wrapText="1"/>
    </xf>
    <xf borderId="16" fillId="2" fontId="6" numFmtId="0" xfId="0" applyAlignment="1" applyBorder="1" applyFont="1">
      <alignment horizontal="left" shrinkToFit="0" wrapText="1"/>
    </xf>
    <xf borderId="16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8" fillId="3" fontId="6" numFmtId="0" xfId="0" applyAlignment="1" applyBorder="1" applyFill="1" applyFont="1">
      <alignment horizontal="center" shrinkToFit="0" vertical="top" wrapText="1"/>
    </xf>
    <xf borderId="16" fillId="0" fontId="1" numFmtId="0" xfId="0" applyAlignment="1" applyBorder="1" applyFont="1">
      <alignment horizontal="left"/>
    </xf>
    <xf borderId="19" fillId="0" fontId="1" numFmtId="0" xfId="0" applyAlignment="1" applyBorder="1" applyFont="1">
      <alignment horizontal="left"/>
    </xf>
    <xf borderId="16" fillId="0" fontId="1" numFmtId="0" xfId="0" applyBorder="1" applyFont="1"/>
    <xf borderId="16" fillId="0" fontId="6" numFmtId="0" xfId="0" applyAlignment="1" applyBorder="1" applyFont="1">
      <alignment horizontal="center"/>
    </xf>
    <xf borderId="20" fillId="0" fontId="2" numFmtId="0" xfId="0" applyBorder="1" applyFont="1"/>
    <xf borderId="16" fillId="4" fontId="1" numFmtId="0" xfId="0" applyAlignment="1" applyBorder="1" applyFill="1" applyFont="1">
      <alignment horizontal="left"/>
    </xf>
    <xf borderId="21" fillId="4" fontId="1" numFmtId="0" xfId="0" applyAlignment="1" applyBorder="1" applyFont="1">
      <alignment horizontal="left"/>
    </xf>
    <xf borderId="16" fillId="4" fontId="1" numFmtId="0" xfId="0" applyAlignment="1" applyBorder="1" applyFont="1">
      <alignment horizontal="center"/>
    </xf>
    <xf borderId="22" fillId="0" fontId="2" numFmtId="0" xfId="0" applyBorder="1" applyFont="1"/>
    <xf borderId="23" fillId="0" fontId="4" numFmtId="0" xfId="0" applyBorder="1" applyFont="1"/>
    <xf borderId="0" fillId="0" fontId="1" numFmtId="0" xfId="0" applyFont="1"/>
    <xf borderId="23" fillId="4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9" fillId="0" fontId="6" numFmtId="0" xfId="0" applyAlignment="1" applyBorder="1" applyFont="1">
      <alignment horizontal="center"/>
    </xf>
    <xf borderId="24" fillId="0" fontId="2" numFmtId="0" xfId="0" applyBorder="1" applyFont="1"/>
    <xf borderId="25" fillId="0" fontId="1" numFmtId="0" xfId="0" applyAlignment="1" applyBorder="1" applyFont="1">
      <alignment shrinkToFit="0" vertical="center" wrapText="1"/>
    </xf>
    <xf borderId="26" fillId="0" fontId="2" numFmtId="0" xfId="0" applyBorder="1" applyFont="1"/>
    <xf borderId="27" fillId="0" fontId="1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17" fillId="0" fontId="2" numFmtId="0" xfId="0" applyBorder="1" applyFont="1"/>
    <xf borderId="25" fillId="0" fontId="6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shrinkToFit="0" vertical="center" wrapText="1"/>
    </xf>
    <xf borderId="27" fillId="3" fontId="6" numFmtId="0" xfId="0" applyAlignment="1" applyBorder="1" applyFont="1">
      <alignment horizontal="center" shrinkToFit="0" vertical="top" wrapText="1"/>
    </xf>
    <xf borderId="30" fillId="0" fontId="2" numFmtId="0" xfId="0" applyBorder="1" applyFont="1"/>
    <xf borderId="16" fillId="4" fontId="1" numFmtId="0" xfId="0" applyBorder="1" applyFont="1"/>
    <xf borderId="0" fillId="0" fontId="1" numFmtId="0" xfId="0" applyAlignment="1" applyFont="1">
      <alignment horizontal="center"/>
    </xf>
    <xf borderId="23" fillId="4" fontId="1" numFmtId="0" xfId="0" applyBorder="1" applyFont="1"/>
    <xf borderId="0" fillId="0" fontId="6" numFmtId="0" xfId="0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19" fillId="0" fontId="1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27" fillId="0" fontId="6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left" vertical="center"/>
    </xf>
    <xf borderId="16" fillId="0" fontId="6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/>
    </xf>
    <xf borderId="27" fillId="3" fontId="5" numFmtId="0" xfId="0" applyAlignment="1" applyBorder="1" applyFont="1">
      <alignment horizontal="center" shrinkToFit="0" vertical="top" wrapText="1"/>
    </xf>
    <xf borderId="16" fillId="0" fontId="4" numFmtId="0" xfId="0" applyAlignment="1" applyBorder="1" applyFont="1">
      <alignment horizontal="left"/>
    </xf>
    <xf borderId="17" fillId="0" fontId="4" numFmtId="0" xfId="0" applyAlignment="1" applyBorder="1" applyFont="1">
      <alignment horizontal="center"/>
    </xf>
    <xf borderId="16" fillId="0" fontId="4" numFmtId="0" xfId="0" applyBorder="1" applyFont="1"/>
    <xf borderId="16" fillId="0" fontId="5" numFmtId="0" xfId="0" applyAlignment="1" applyBorder="1" applyFont="1">
      <alignment horizontal="center"/>
    </xf>
    <xf borderId="16" fillId="4" fontId="4" numFmtId="0" xfId="0" applyAlignment="1" applyBorder="1" applyFont="1">
      <alignment horizontal="left"/>
    </xf>
    <xf borderId="32" fillId="4" fontId="4" numFmtId="0" xfId="0" applyAlignment="1" applyBorder="1" applyFont="1">
      <alignment horizontal="center"/>
    </xf>
    <xf borderId="21" fillId="4" fontId="1" numFmtId="0" xfId="0" applyBorder="1" applyFont="1"/>
    <xf borderId="33" fillId="0" fontId="1" numFmtId="0" xfId="0" applyAlignment="1" applyBorder="1" applyFont="1">
      <alignment horizontal="center"/>
    </xf>
    <xf borderId="19" fillId="0" fontId="1" numFmtId="0" xfId="0" applyBorder="1" applyFont="1"/>
    <xf borderId="33" fillId="0" fontId="1" numFmtId="0" xfId="0" applyBorder="1" applyFont="1"/>
    <xf borderId="16" fillId="4" fontId="4" numFmtId="0" xfId="0" applyAlignment="1" applyBorder="1" applyFont="1">
      <alignment horizontal="center"/>
    </xf>
    <xf borderId="23" fillId="4" fontId="4" numFmtId="0" xfId="0" applyAlignment="1" applyBorder="1" applyFont="1">
      <alignment horizontal="left"/>
    </xf>
    <xf borderId="19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left"/>
    </xf>
    <xf borderId="25" fillId="0" fontId="4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left" vertical="center"/>
    </xf>
    <xf borderId="19" fillId="0" fontId="5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horizontal="left" vertical="center"/>
    </xf>
    <xf borderId="16" fillId="3" fontId="6" numFmtId="0" xfId="0" applyAlignment="1" applyBorder="1" applyFont="1">
      <alignment horizontal="center"/>
    </xf>
    <xf borderId="19" fillId="3" fontId="6" numFmtId="0" xfId="0" applyAlignment="1" applyBorder="1" applyFont="1">
      <alignment horizontal="center"/>
    </xf>
    <xf borderId="34" fillId="0" fontId="2" numFmtId="0" xfId="0" applyBorder="1" applyFont="1"/>
    <xf borderId="19" fillId="0" fontId="6" numFmtId="0" xfId="0" applyAlignment="1" applyBorder="1" applyFont="1">
      <alignment horizontal="left"/>
    </xf>
    <xf borderId="16" fillId="5" fontId="6" numFmtId="0" xfId="0" applyAlignment="1" applyBorder="1" applyFill="1" applyFont="1">
      <alignment horizontal="center"/>
    </xf>
    <xf borderId="23" fillId="0" fontId="1" numFmtId="0" xfId="0" applyBorder="1" applyFont="1"/>
    <xf borderId="31" fillId="0" fontId="5" numFmtId="0" xfId="0" applyAlignment="1" applyBorder="1" applyFont="1">
      <alignment horizontal="center" shrinkToFit="0" vertical="center" wrapText="1"/>
    </xf>
    <xf borderId="35" fillId="0" fontId="1" numFmtId="0" xfId="0" applyBorder="1" applyFont="1"/>
    <xf borderId="36" fillId="2" fontId="5" numFmtId="0" xfId="0" applyAlignment="1" applyBorder="1" applyFont="1">
      <alignment horizontal="center" vertical="center"/>
    </xf>
    <xf borderId="21" fillId="2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vertical="center"/>
    </xf>
    <xf borderId="37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0" fillId="0" fontId="1" numFmtId="164" xfId="0" applyFont="1" applyNumberFormat="1"/>
    <xf borderId="25" fillId="0" fontId="7" numFmtId="0" xfId="0" applyAlignment="1" applyBorder="1" applyFont="1">
      <alignment horizontal="center" vertical="center"/>
    </xf>
    <xf borderId="38" fillId="0" fontId="2" numFmtId="0" xfId="0" applyBorder="1" applyFont="1"/>
    <xf borderId="19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vertical="center"/>
    </xf>
    <xf borderId="19" fillId="0" fontId="6" numFmtId="164" xfId="0" applyAlignment="1" applyBorder="1" applyFont="1" applyNumberFormat="1">
      <alignment horizontal="center" vertical="center"/>
    </xf>
    <xf borderId="39" fillId="0" fontId="2" numFmtId="0" xfId="0" applyBorder="1" applyFont="1"/>
    <xf borderId="16" fillId="0" fontId="1" numFmtId="3" xfId="0" applyBorder="1" applyFont="1" applyNumberFormat="1"/>
    <xf borderId="16" fillId="0" fontId="1" numFmtId="164" xfId="0" applyBorder="1" applyFont="1" applyNumberFormat="1"/>
    <xf borderId="27" fillId="0" fontId="1" numFmtId="3" xfId="0" applyBorder="1" applyFont="1" applyNumberFormat="1"/>
    <xf borderId="0" fillId="0" fontId="1" numFmtId="3" xfId="0" applyFont="1" applyNumberFormat="1"/>
    <xf borderId="17" fillId="0" fontId="1" numFmtId="3" xfId="0" applyBorder="1" applyFont="1" applyNumberFormat="1"/>
    <xf borderId="40" fillId="0" fontId="2" numFmtId="0" xfId="0" applyBorder="1" applyFont="1"/>
    <xf borderId="0" fillId="0" fontId="1" numFmtId="165" xfId="0" applyFont="1" applyNumberFormat="1"/>
    <xf borderId="19" fillId="0" fontId="6" numFmtId="165" xfId="0" applyAlignment="1" applyBorder="1" applyFont="1" applyNumberFormat="1">
      <alignment horizontal="center" vertical="center"/>
    </xf>
    <xf borderId="16" fillId="0" fontId="1" numFmtId="165" xfId="0" applyBorder="1" applyFont="1" applyNumberFormat="1"/>
    <xf borderId="16" fillId="0" fontId="1" numFmtId="0" xfId="0" applyAlignment="1" applyBorder="1" applyFont="1">
      <alignment shrinkToFit="0" wrapText="1"/>
    </xf>
    <xf borderId="19" fillId="0" fontId="6" numFmtId="0" xfId="0" applyAlignment="1" applyBorder="1" applyFont="1">
      <alignment horizontal="center" shrinkToFit="0" wrapText="1"/>
    </xf>
    <xf borderId="0" fillId="0" fontId="8" numFmtId="0" xfId="0" applyFont="1"/>
    <xf borderId="0" fillId="0" fontId="9" numFmtId="0" xfId="0" applyFont="1"/>
    <xf borderId="16" fillId="0" fontId="1" numFmtId="0" xfId="0" applyAlignment="1" applyBorder="1" applyFont="1">
      <alignment horizontal="right"/>
    </xf>
    <xf borderId="16" fillId="0" fontId="1" numFmtId="165" xfId="0" applyAlignment="1" applyBorder="1" applyFont="1" applyNumberFormat="1">
      <alignment horizontal="right"/>
    </xf>
    <xf borderId="0" fillId="0" fontId="8" numFmtId="3" xfId="0" applyFont="1" applyNumberFormat="1"/>
    <xf borderId="23" fillId="0" fontId="1" numFmtId="165" xfId="0" applyBorder="1" applyFont="1" applyNumberFormat="1"/>
    <xf borderId="25" fillId="0" fontId="10" numFmtId="0" xfId="0" applyAlignment="1" applyBorder="1" applyFont="1">
      <alignment horizontal="center" vertical="center"/>
    </xf>
    <xf borderId="19" fillId="6" fontId="6" numFmtId="0" xfId="0" applyAlignment="1" applyBorder="1" applyFill="1" applyFont="1">
      <alignment horizontal="center" shrinkToFit="0" wrapText="1"/>
    </xf>
    <xf borderId="19" fillId="7" fontId="6" numFmtId="0" xfId="0" applyAlignment="1" applyBorder="1" applyFill="1" applyFont="1">
      <alignment horizontal="center"/>
    </xf>
    <xf borderId="19" fillId="8" fontId="1" numFmtId="165" xfId="0" applyAlignment="1" applyBorder="1" applyFill="1" applyFont="1" applyNumberFormat="1">
      <alignment horizontal="center"/>
    </xf>
    <xf borderId="23" fillId="0" fontId="1" numFmtId="0" xfId="0" applyAlignment="1" applyBorder="1" applyFont="1">
      <alignment horizontal="left"/>
    </xf>
    <xf borderId="19" fillId="0" fontId="6" numFmtId="166" xfId="0" applyAlignment="1" applyBorder="1" applyFont="1" applyNumberFormat="1">
      <alignment horizontal="center"/>
    </xf>
    <xf borderId="19" fillId="0" fontId="6" numFmtId="165" xfId="0" applyAlignment="1" applyBorder="1" applyFont="1" applyNumberFormat="1">
      <alignment horizontal="center"/>
    </xf>
    <xf borderId="16" fillId="0" fontId="6" numFmtId="1" xfId="0" applyAlignment="1" applyBorder="1" applyFont="1" applyNumberFormat="1">
      <alignment horizontal="center"/>
    </xf>
    <xf borderId="16" fillId="0" fontId="11" numFmtId="166" xfId="0" applyBorder="1" applyFont="1" applyNumberFormat="1"/>
    <xf borderId="16" fillId="0" fontId="1" numFmtId="166" xfId="0" applyAlignment="1" applyBorder="1" applyFont="1" applyNumberFormat="1">
      <alignment horizontal="right"/>
    </xf>
    <xf borderId="0" fillId="0" fontId="1" numFmtId="166" xfId="0" applyFont="1" applyNumberFormat="1"/>
    <xf borderId="16" fillId="0" fontId="1" numFmtId="166" xfId="0" applyBorder="1" applyFont="1" applyNumberFormat="1"/>
    <xf borderId="16" fillId="0" fontId="1" numFmtId="3" xfId="0" applyAlignment="1" applyBorder="1" applyFont="1" applyNumberFormat="1">
      <alignment horizontal="right"/>
    </xf>
    <xf borderId="0" fillId="0" fontId="1" numFmtId="3" xfId="0" applyAlignment="1" applyFont="1" applyNumberFormat="1">
      <alignment horizontal="right"/>
    </xf>
    <xf borderId="16" fillId="0" fontId="1" numFmtId="4" xfId="0" applyAlignment="1" applyBorder="1" applyFont="1" applyNumberFormat="1">
      <alignment horizontal="right"/>
    </xf>
    <xf borderId="16" fillId="0" fontId="11" numFmtId="3" xfId="0" applyBorder="1" applyFont="1" applyNumberFormat="1"/>
    <xf borderId="16" fillId="0" fontId="1" numFmtId="167" xfId="0" applyAlignment="1" applyBorder="1" applyFont="1" applyNumberFormat="1">
      <alignment horizontal="right"/>
    </xf>
    <xf borderId="41" fillId="3" fontId="6" numFmtId="0" xfId="0" applyAlignment="1" applyBorder="1" applyFont="1">
      <alignment horizontal="center" shrinkToFit="0" vertical="top" wrapText="1"/>
    </xf>
    <xf borderId="42" fillId="3" fontId="6" numFmtId="0" xfId="0" applyAlignment="1" applyBorder="1" applyFont="1">
      <alignment horizontal="center" shrinkToFit="0" vertical="top" wrapText="1"/>
    </xf>
    <xf borderId="0" fillId="0" fontId="1" numFmtId="3" xfId="0" applyAlignment="1" applyFont="1" applyNumberFormat="1">
      <alignment shrinkToFit="0" vertical="center" wrapText="1"/>
    </xf>
    <xf borderId="16" fillId="4" fontId="1" numFmtId="164" xfId="0" applyBorder="1" applyFont="1" applyNumberFormat="1"/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horizontal="left"/>
    </xf>
    <xf borderId="0" fillId="0" fontId="13" numFmtId="168" xfId="0" applyAlignment="1" applyFont="1" applyNumberFormat="1">
      <alignment horizontal="right"/>
    </xf>
    <xf borderId="0" fillId="0" fontId="13" numFmtId="164" xfId="0" applyAlignment="1" applyFont="1" applyNumberFormat="1">
      <alignment horizontal="right"/>
    </xf>
    <xf borderId="16" fillId="0" fontId="15" numFmtId="0" xfId="0" applyAlignment="1" applyBorder="1" applyFont="1">
      <alignment horizontal="center" vertical="center"/>
    </xf>
    <xf borderId="16" fillId="0" fontId="15" numFmtId="0" xfId="0" applyAlignment="1" applyBorder="1" applyFont="1">
      <alignment horizontal="left" vertical="center"/>
    </xf>
    <xf borderId="16" fillId="0" fontId="15" numFmtId="168" xfId="0" applyAlignment="1" applyBorder="1" applyFont="1" applyNumberFormat="1">
      <alignment horizontal="right"/>
    </xf>
    <xf borderId="16" fillId="0" fontId="15" numFmtId="164" xfId="0" applyAlignment="1" applyBorder="1" applyFont="1" applyNumberFormat="1">
      <alignment horizontal="right"/>
    </xf>
    <xf borderId="0" fillId="0" fontId="15" numFmtId="164" xfId="0" applyAlignment="1" applyFont="1" applyNumberFormat="1">
      <alignment horizontal="right"/>
    </xf>
    <xf borderId="16" fillId="0" fontId="16" numFmtId="0" xfId="0" applyAlignment="1" applyBorder="1" applyFont="1">
      <alignment horizontal="center" vertical="center"/>
    </xf>
    <xf borderId="16" fillId="0" fontId="15" numFmtId="168" xfId="0" applyAlignment="1" applyBorder="1" applyFont="1" applyNumberFormat="1">
      <alignment horizontal="right" shrinkToFit="0" vertical="center" wrapText="1"/>
    </xf>
    <xf borderId="16" fillId="0" fontId="15" numFmtId="164" xfId="0" applyAlignment="1" applyBorder="1" applyFont="1" applyNumberFormat="1">
      <alignment horizontal="right" vertical="center"/>
    </xf>
    <xf borderId="16" fillId="0" fontId="15" numFmtId="164" xfId="0" applyAlignment="1" applyBorder="1" applyFont="1" applyNumberFormat="1">
      <alignment horizontal="right" shrinkToFit="0" wrapText="1"/>
    </xf>
    <xf borderId="16" fillId="0" fontId="15" numFmtId="164" xfId="0" applyAlignment="1" applyBorder="1" applyFont="1" applyNumberFormat="1">
      <alignment horizontal="right" shrinkToFit="0" vertical="center" wrapText="1"/>
    </xf>
    <xf borderId="16" fillId="0" fontId="17" numFmtId="164" xfId="0" applyAlignment="1" applyBorder="1" applyFont="1" applyNumberFormat="1">
      <alignment horizontal="right" vertical="center"/>
    </xf>
    <xf borderId="0" fillId="0" fontId="15" numFmtId="164" xfId="0" applyAlignment="1" applyFont="1" applyNumberFormat="1">
      <alignment horizontal="right" vertical="center"/>
    </xf>
    <xf borderId="16" fillId="0" fontId="13" numFmtId="168" xfId="0" applyAlignment="1" applyBorder="1" applyFont="1" applyNumberFormat="1">
      <alignment horizontal="right" shrinkToFit="0" wrapText="1"/>
    </xf>
    <xf borderId="16" fillId="0" fontId="13" numFmtId="164" xfId="0" applyAlignment="1" applyBorder="1" applyFont="1" applyNumberFormat="1">
      <alignment horizontal="center" shrinkToFit="0" wrapText="1"/>
    </xf>
    <xf borderId="16" fillId="0" fontId="5" numFmtId="0" xfId="0" applyBorder="1" applyFont="1"/>
    <xf borderId="16" fillId="0" fontId="18" numFmtId="0" xfId="0" applyAlignment="1" applyBorder="1" applyFont="1">
      <alignment horizontal="center" vertical="center"/>
    </xf>
    <xf borderId="16" fillId="0" fontId="18" numFmtId="0" xfId="0" applyAlignment="1" applyBorder="1" applyFont="1">
      <alignment vertical="center"/>
    </xf>
    <xf borderId="16" fillId="0" fontId="18" numFmtId="164" xfId="0" applyAlignment="1" applyBorder="1" applyFont="1" applyNumberFormat="1">
      <alignment horizontal="right" vertical="center"/>
    </xf>
    <xf borderId="16" fillId="0" fontId="18" numFmtId="1" xfId="0" applyAlignment="1" applyBorder="1" applyFont="1" applyNumberFormat="1">
      <alignment horizontal="right" vertical="center"/>
    </xf>
    <xf borderId="16" fillId="0" fontId="19" numFmtId="0" xfId="0" applyAlignment="1" applyBorder="1" applyFont="1">
      <alignment horizontal="center" vertical="center"/>
    </xf>
    <xf borderId="0" fillId="0" fontId="13" numFmtId="164" xfId="0" applyFont="1" applyNumberFormat="1"/>
    <xf borderId="0" fillId="0" fontId="13" numFmtId="164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16" fillId="0" fontId="15" numFmtId="168" xfId="0" applyAlignment="1" applyBorder="1" applyFont="1" applyNumberFormat="1">
      <alignment horizontal="center"/>
    </xf>
    <xf borderId="16" fillId="4" fontId="15" numFmtId="168" xfId="0" applyAlignment="1" applyBorder="1" applyFont="1" applyNumberFormat="1">
      <alignment horizontal="center"/>
    </xf>
    <xf borderId="16" fillId="0" fontId="15" numFmtId="164" xfId="0" applyAlignment="1" applyBorder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16" fillId="9" fontId="18" numFmtId="164" xfId="0" applyAlignment="1" applyBorder="1" applyFill="1" applyFont="1" applyNumberFormat="1">
      <alignment horizontal="right" vertical="center"/>
    </xf>
    <xf borderId="16" fillId="4" fontId="18" numFmtId="164" xfId="0" applyAlignment="1" applyBorder="1" applyFont="1" applyNumberFormat="1">
      <alignment horizontal="right" vertical="center"/>
    </xf>
    <xf borderId="16" fillId="10" fontId="18" numFmtId="164" xfId="0" applyAlignment="1" applyBorder="1" applyFill="1" applyFont="1" applyNumberFormat="1">
      <alignment horizontal="right" vertical="center"/>
    </xf>
    <xf borderId="16" fillId="11" fontId="18" numFmtId="164" xfId="0" applyAlignment="1" applyBorder="1" applyFill="1" applyFont="1" applyNumberFormat="1">
      <alignment horizontal="right" vertical="center"/>
    </xf>
    <xf borderId="23" fillId="11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14.25" customHeight="1"/>
    <row r="2" ht="14.25" customHeight="1"/>
    <row r="3" ht="14.25" customHeight="1">
      <c r="B3" s="1" t="s">
        <v>0</v>
      </c>
      <c r="C3" s="2"/>
      <c r="D3" s="2"/>
      <c r="E3" s="2"/>
      <c r="F3" s="2"/>
      <c r="G3" s="2"/>
      <c r="H3" s="2"/>
      <c r="I3" s="3"/>
    </row>
    <row r="4" ht="14.25" customHeight="1">
      <c r="B4" s="4"/>
      <c r="I4" s="5"/>
    </row>
    <row r="5" ht="14.25" customHeight="1">
      <c r="B5" s="4"/>
      <c r="I5" s="5"/>
    </row>
    <row r="6" ht="14.25" customHeight="1">
      <c r="B6" s="6"/>
      <c r="C6" s="7"/>
      <c r="D6" s="7"/>
      <c r="E6" s="7"/>
      <c r="F6" s="7"/>
      <c r="G6" s="7"/>
      <c r="H6" s="7"/>
      <c r="I6" s="8"/>
    </row>
    <row r="7" ht="51.0" customHeight="1">
      <c r="B7" s="9" t="s">
        <v>1</v>
      </c>
      <c r="C7" s="10" t="s">
        <v>2</v>
      </c>
      <c r="D7" s="11"/>
      <c r="E7" s="11"/>
      <c r="F7" s="11"/>
      <c r="G7" s="11"/>
      <c r="H7" s="11"/>
      <c r="I7" s="12"/>
    </row>
    <row r="8" ht="47.25" customHeight="1">
      <c r="B8" s="9" t="s">
        <v>3</v>
      </c>
      <c r="C8" s="10" t="s">
        <v>4</v>
      </c>
      <c r="D8" s="11"/>
      <c r="E8" s="11"/>
      <c r="F8" s="11"/>
      <c r="G8" s="11"/>
      <c r="H8" s="11"/>
      <c r="I8" s="12"/>
    </row>
    <row r="9" ht="45.0" customHeight="1">
      <c r="B9" s="9" t="s">
        <v>5</v>
      </c>
      <c r="C9" s="10" t="s">
        <v>6</v>
      </c>
      <c r="D9" s="11"/>
      <c r="E9" s="11"/>
      <c r="F9" s="11"/>
      <c r="G9" s="11"/>
      <c r="H9" s="11"/>
      <c r="I9" s="12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</sheetData>
  <mergeCells count="4">
    <mergeCell ref="B3:I6"/>
    <mergeCell ref="C7:I7"/>
    <mergeCell ref="C8:I8"/>
    <mergeCell ref="C9:I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3" width="19.14"/>
    <col customWidth="1" min="4" max="4" width="8.71"/>
    <col customWidth="1" min="5" max="5" width="36.14"/>
    <col customWidth="1" min="6" max="9" width="8.71"/>
    <col customWidth="1" min="10" max="10" width="16.14"/>
    <col customWidth="1" min="11" max="23" width="8.71"/>
  </cols>
  <sheetData>
    <row r="1" ht="13.5" customHeight="1">
      <c r="A1" s="13"/>
      <c r="B1" s="14" t="s">
        <v>7</v>
      </c>
      <c r="C1" s="15"/>
      <c r="D1" s="15"/>
      <c r="E1" s="15"/>
      <c r="F1" s="15"/>
      <c r="G1" s="15"/>
      <c r="H1" s="16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ht="13.5" customHeight="1">
      <c r="A2" s="13"/>
      <c r="B2" s="14" t="s">
        <v>8</v>
      </c>
      <c r="C2" s="15"/>
      <c r="D2" s="15"/>
      <c r="E2" s="15"/>
      <c r="F2" s="15"/>
      <c r="G2" s="15"/>
      <c r="H2" s="16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ht="13.5" customHeight="1">
      <c r="A3" s="13"/>
      <c r="B3" s="17"/>
      <c r="C3" s="13"/>
      <c r="D3" s="18"/>
      <c r="E3" s="1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ht="14.25" customHeight="1">
      <c r="B4" s="19" t="s">
        <v>9</v>
      </c>
      <c r="C4" s="20" t="s">
        <v>10</v>
      </c>
      <c r="D4" s="21" t="s">
        <v>11</v>
      </c>
      <c r="E4" s="22" t="s">
        <v>12</v>
      </c>
      <c r="F4" s="19">
        <v>2022.0</v>
      </c>
      <c r="G4" s="19">
        <v>2023.0</v>
      </c>
      <c r="H4" s="19">
        <v>2024.0</v>
      </c>
      <c r="I4" s="13"/>
      <c r="J4" s="23" t="s">
        <v>10</v>
      </c>
      <c r="K4" s="23" t="s">
        <v>13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ht="13.5" customHeight="1">
      <c r="B5" s="24">
        <v>1.0</v>
      </c>
      <c r="C5" s="25" t="s">
        <v>14</v>
      </c>
      <c r="D5" s="26" t="s">
        <v>15</v>
      </c>
      <c r="E5" s="27" t="s">
        <v>16</v>
      </c>
      <c r="F5" s="23">
        <v>1.0</v>
      </c>
      <c r="G5" s="23">
        <v>1.0</v>
      </c>
      <c r="H5" s="23">
        <v>1.0</v>
      </c>
      <c r="I5" s="13"/>
      <c r="J5" s="28" t="s">
        <v>17</v>
      </c>
      <c r="K5" s="29">
        <v>104.0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3.5" customHeight="1">
      <c r="B6" s="23">
        <v>2.0</v>
      </c>
      <c r="C6" s="30"/>
      <c r="D6" s="26" t="s">
        <v>18</v>
      </c>
      <c r="E6" s="27" t="s">
        <v>19</v>
      </c>
      <c r="F6" s="23">
        <v>1.0</v>
      </c>
      <c r="G6" s="23">
        <v>1.0</v>
      </c>
      <c r="H6" s="23">
        <v>1.0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3.5" customHeight="1">
      <c r="B7" s="23">
        <v>3.0</v>
      </c>
      <c r="C7" s="30"/>
      <c r="D7" s="26" t="s">
        <v>20</v>
      </c>
      <c r="E7" s="27" t="s">
        <v>21</v>
      </c>
      <c r="F7" s="23">
        <v>1.0</v>
      </c>
      <c r="G7" s="23">
        <v>1.0</v>
      </c>
      <c r="H7" s="23">
        <v>1.0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3.5" customHeight="1">
      <c r="B8" s="23">
        <v>4.0</v>
      </c>
      <c r="C8" s="30"/>
      <c r="D8" s="26" t="s">
        <v>22</v>
      </c>
      <c r="E8" s="27" t="s">
        <v>23</v>
      </c>
      <c r="F8" s="23">
        <v>1.0</v>
      </c>
      <c r="G8" s="23">
        <v>1.0</v>
      </c>
      <c r="H8" s="23">
        <v>1.0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13.5" customHeight="1">
      <c r="B9" s="23">
        <v>5.0</v>
      </c>
      <c r="C9" s="30"/>
      <c r="D9" s="26" t="s">
        <v>24</v>
      </c>
      <c r="E9" s="27" t="s">
        <v>25</v>
      </c>
      <c r="F9" s="23">
        <v>1.0</v>
      </c>
      <c r="G9" s="23">
        <v>1.0</v>
      </c>
      <c r="H9" s="23">
        <v>1.0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3.5" customHeight="1">
      <c r="B10" s="23">
        <v>6.0</v>
      </c>
      <c r="C10" s="30"/>
      <c r="D10" s="26" t="s">
        <v>26</v>
      </c>
      <c r="E10" s="27" t="s">
        <v>27</v>
      </c>
      <c r="F10" s="23">
        <v>1.0</v>
      </c>
      <c r="G10" s="23">
        <v>1.0</v>
      </c>
      <c r="H10" s="23">
        <v>1.0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3.5" customHeight="1">
      <c r="B11" s="23">
        <v>7.0</v>
      </c>
      <c r="C11" s="30"/>
      <c r="D11" s="26" t="s">
        <v>28</v>
      </c>
      <c r="E11" s="27" t="s">
        <v>29</v>
      </c>
      <c r="F11" s="23">
        <v>1.0</v>
      </c>
      <c r="G11" s="23">
        <v>1.0</v>
      </c>
      <c r="H11" s="23">
        <v>1.0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3.5" customHeight="1">
      <c r="B12" s="23">
        <v>8.0</v>
      </c>
      <c r="C12" s="30"/>
      <c r="D12" s="26" t="s">
        <v>30</v>
      </c>
      <c r="E12" s="27" t="s">
        <v>31</v>
      </c>
      <c r="F12" s="23">
        <v>1.0</v>
      </c>
      <c r="G12" s="23">
        <v>1.0</v>
      </c>
      <c r="H12" s="23">
        <v>1.0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3.5" customHeight="1">
      <c r="B13" s="23">
        <v>9.0</v>
      </c>
      <c r="C13" s="30"/>
      <c r="D13" s="26" t="s">
        <v>32</v>
      </c>
      <c r="E13" s="27" t="s">
        <v>33</v>
      </c>
      <c r="F13" s="23">
        <v>1.0</v>
      </c>
      <c r="G13" s="23">
        <v>1.0</v>
      </c>
      <c r="H13" s="23">
        <v>1.0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3.5" customHeight="1">
      <c r="B14" s="23">
        <v>10.0</v>
      </c>
      <c r="C14" s="30"/>
      <c r="D14" s="26" t="s">
        <v>34</v>
      </c>
      <c r="E14" s="27" t="s">
        <v>35</v>
      </c>
      <c r="F14" s="23">
        <v>1.0</v>
      </c>
      <c r="G14" s="23">
        <v>1.0</v>
      </c>
      <c r="H14" s="23">
        <v>1.0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13.5" customHeight="1">
      <c r="B15" s="23">
        <v>11.0</v>
      </c>
      <c r="C15" s="30"/>
      <c r="D15" s="26" t="s">
        <v>36</v>
      </c>
      <c r="E15" s="27" t="s">
        <v>37</v>
      </c>
      <c r="F15" s="23">
        <v>1.0</v>
      </c>
      <c r="G15" s="23">
        <v>1.0</v>
      </c>
      <c r="H15" s="23">
        <v>1.0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13.5" customHeight="1">
      <c r="B16" s="23">
        <v>12.0</v>
      </c>
      <c r="C16" s="30"/>
      <c r="D16" s="26" t="s">
        <v>38</v>
      </c>
      <c r="E16" s="27" t="s">
        <v>39</v>
      </c>
      <c r="F16" s="23">
        <v>1.0</v>
      </c>
      <c r="G16" s="23">
        <v>1.0</v>
      </c>
      <c r="H16" s="23">
        <v>1.0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13.5" customHeight="1">
      <c r="B17" s="23">
        <v>13.0</v>
      </c>
      <c r="C17" s="30"/>
      <c r="D17" s="26" t="s">
        <v>40</v>
      </c>
      <c r="E17" s="27" t="s">
        <v>41</v>
      </c>
      <c r="F17" s="23">
        <v>1.0</v>
      </c>
      <c r="G17" s="23">
        <v>1.0</v>
      </c>
      <c r="H17" s="23">
        <v>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13.5" customHeight="1">
      <c r="B18" s="23">
        <v>14.0</v>
      </c>
      <c r="C18" s="30"/>
      <c r="D18" s="26" t="s">
        <v>42</v>
      </c>
      <c r="E18" s="27" t="s">
        <v>43</v>
      </c>
      <c r="F18" s="23">
        <v>1.0</v>
      </c>
      <c r="G18" s="23">
        <v>1.0</v>
      </c>
      <c r="H18" s="23">
        <v>1.0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ht="13.5" customHeight="1">
      <c r="B19" s="23">
        <v>15.0</v>
      </c>
      <c r="C19" s="30"/>
      <c r="D19" s="26" t="s">
        <v>44</v>
      </c>
      <c r="E19" s="27" t="s">
        <v>45</v>
      </c>
      <c r="F19" s="23">
        <v>1.0</v>
      </c>
      <c r="G19" s="23">
        <v>1.0</v>
      </c>
      <c r="H19" s="23">
        <v>1.0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ht="13.5" customHeight="1">
      <c r="B20" s="23">
        <v>16.0</v>
      </c>
      <c r="C20" s="30"/>
      <c r="D20" s="26" t="s">
        <v>46</v>
      </c>
      <c r="E20" s="27" t="s">
        <v>47</v>
      </c>
      <c r="F20" s="23">
        <v>1.0</v>
      </c>
      <c r="G20" s="23">
        <v>1.0</v>
      </c>
      <c r="H20" s="23">
        <v>1.0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3.5" customHeight="1">
      <c r="B21" s="23">
        <v>17.0</v>
      </c>
      <c r="C21" s="30"/>
      <c r="D21" s="26" t="s">
        <v>48</v>
      </c>
      <c r="E21" s="27" t="s">
        <v>49</v>
      </c>
      <c r="F21" s="23">
        <v>1.0</v>
      </c>
      <c r="G21" s="23">
        <v>1.0</v>
      </c>
      <c r="H21" s="23">
        <v>1.0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3.5" customHeight="1">
      <c r="B22" s="23">
        <v>18.0</v>
      </c>
      <c r="C22" s="30"/>
      <c r="D22" s="26" t="s">
        <v>50</v>
      </c>
      <c r="E22" s="27" t="s">
        <v>51</v>
      </c>
      <c r="F22" s="23">
        <v>1.0</v>
      </c>
      <c r="G22" s="23">
        <v>1.0</v>
      </c>
      <c r="H22" s="23">
        <v>1.0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3.5" customHeight="1">
      <c r="B23" s="23">
        <v>19.0</v>
      </c>
      <c r="C23" s="30"/>
      <c r="D23" s="26" t="s">
        <v>52</v>
      </c>
      <c r="E23" s="27" t="s">
        <v>53</v>
      </c>
      <c r="F23" s="23">
        <v>1.0</v>
      </c>
      <c r="G23" s="23">
        <v>1.0</v>
      </c>
      <c r="H23" s="23">
        <v>1.0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3.5" customHeight="1">
      <c r="B24" s="23">
        <v>20.0</v>
      </c>
      <c r="C24" s="30"/>
      <c r="D24" s="26" t="s">
        <v>54</v>
      </c>
      <c r="E24" s="27" t="s">
        <v>55</v>
      </c>
      <c r="F24" s="23">
        <v>1.0</v>
      </c>
      <c r="G24" s="23">
        <v>1.0</v>
      </c>
      <c r="H24" s="23">
        <v>1.0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3.5" customHeight="1">
      <c r="B25" s="23">
        <v>21.0</v>
      </c>
      <c r="C25" s="30"/>
      <c r="D25" s="26" t="s">
        <v>56</v>
      </c>
      <c r="E25" s="27" t="s">
        <v>57</v>
      </c>
      <c r="F25" s="23">
        <v>1.0</v>
      </c>
      <c r="G25" s="23">
        <v>1.0</v>
      </c>
      <c r="H25" s="23">
        <v>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3.5" customHeight="1">
      <c r="B26" s="23">
        <v>22.0</v>
      </c>
      <c r="C26" s="30"/>
      <c r="D26" s="26" t="s">
        <v>58</v>
      </c>
      <c r="E26" s="27" t="s">
        <v>59</v>
      </c>
      <c r="F26" s="23">
        <v>1.0</v>
      </c>
      <c r="G26" s="23">
        <v>1.0</v>
      </c>
      <c r="H26" s="23">
        <v>1.0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3.5" customHeight="1">
      <c r="B27" s="23">
        <v>23.0</v>
      </c>
      <c r="C27" s="30"/>
      <c r="D27" s="26" t="s">
        <v>60</v>
      </c>
      <c r="E27" s="27" t="s">
        <v>61</v>
      </c>
      <c r="F27" s="23">
        <v>1.0</v>
      </c>
      <c r="G27" s="23">
        <v>1.0</v>
      </c>
      <c r="H27" s="23">
        <v>1.0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3.5" customHeight="1">
      <c r="B28" s="23">
        <v>24.0</v>
      </c>
      <c r="C28" s="30"/>
      <c r="D28" s="26" t="s">
        <v>62</v>
      </c>
      <c r="E28" s="27" t="s">
        <v>63</v>
      </c>
      <c r="F28" s="23">
        <v>1.0</v>
      </c>
      <c r="G28" s="23">
        <v>1.0</v>
      </c>
      <c r="H28" s="23">
        <v>1.0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3.5" customHeight="1">
      <c r="B29" s="23">
        <v>25.0</v>
      </c>
      <c r="C29" s="30"/>
      <c r="D29" s="26" t="s">
        <v>64</v>
      </c>
      <c r="E29" s="27" t="s">
        <v>65</v>
      </c>
      <c r="F29" s="23">
        <v>1.0</v>
      </c>
      <c r="G29" s="23">
        <v>1.0</v>
      </c>
      <c r="H29" s="23">
        <v>1.0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3.5" customHeight="1">
      <c r="B30" s="23">
        <v>26.0</v>
      </c>
      <c r="C30" s="30"/>
      <c r="D30" s="26" t="s">
        <v>66</v>
      </c>
      <c r="E30" s="27" t="s">
        <v>67</v>
      </c>
      <c r="F30" s="23">
        <v>1.0</v>
      </c>
      <c r="G30" s="23">
        <v>1.0</v>
      </c>
      <c r="H30" s="23">
        <v>1.0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3.5" customHeight="1">
      <c r="B31" s="23">
        <v>27.0</v>
      </c>
      <c r="C31" s="30"/>
      <c r="D31" s="26" t="s">
        <v>68</v>
      </c>
      <c r="E31" s="27" t="s">
        <v>69</v>
      </c>
      <c r="F31" s="23">
        <v>1.0</v>
      </c>
      <c r="G31" s="23">
        <v>1.0</v>
      </c>
      <c r="H31" s="23">
        <v>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3.5" customHeight="1">
      <c r="B32" s="23">
        <v>28.0</v>
      </c>
      <c r="C32" s="30"/>
      <c r="D32" s="26" t="s">
        <v>70</v>
      </c>
      <c r="E32" s="27" t="s">
        <v>71</v>
      </c>
      <c r="F32" s="23">
        <v>1.0</v>
      </c>
      <c r="G32" s="23">
        <v>1.0</v>
      </c>
      <c r="H32" s="23">
        <v>1.0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3.5" customHeight="1">
      <c r="B33" s="23">
        <v>29.0</v>
      </c>
      <c r="C33" s="30"/>
      <c r="D33" s="26" t="s">
        <v>72</v>
      </c>
      <c r="E33" s="27" t="s">
        <v>73</v>
      </c>
      <c r="F33" s="23">
        <v>1.0</v>
      </c>
      <c r="G33" s="23">
        <v>1.0</v>
      </c>
      <c r="H33" s="23">
        <v>1.0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3.5" customHeight="1">
      <c r="B34" s="23">
        <v>30.0</v>
      </c>
      <c r="C34" s="30"/>
      <c r="D34" s="26" t="s">
        <v>74</v>
      </c>
      <c r="E34" s="27" t="s">
        <v>75</v>
      </c>
      <c r="F34" s="23">
        <v>1.0</v>
      </c>
      <c r="G34" s="23">
        <v>1.0</v>
      </c>
      <c r="H34" s="23">
        <v>1.0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3.5" customHeight="1">
      <c r="B35" s="23">
        <v>31.0</v>
      </c>
      <c r="C35" s="30"/>
      <c r="D35" s="26" t="s">
        <v>76</v>
      </c>
      <c r="E35" s="27" t="s">
        <v>77</v>
      </c>
      <c r="F35" s="23">
        <v>1.0</v>
      </c>
      <c r="G35" s="23">
        <v>1.0</v>
      </c>
      <c r="H35" s="23">
        <v>1.0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3.5" customHeight="1">
      <c r="B36" s="23">
        <v>32.0</v>
      </c>
      <c r="C36" s="30"/>
      <c r="D36" s="26" t="s">
        <v>78</v>
      </c>
      <c r="E36" s="27" t="s">
        <v>79</v>
      </c>
      <c r="F36" s="23">
        <v>1.0</v>
      </c>
      <c r="G36" s="23">
        <v>1.0</v>
      </c>
      <c r="H36" s="23">
        <v>1.0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3.5" customHeight="1">
      <c r="B37" s="23">
        <v>33.0</v>
      </c>
      <c r="C37" s="30"/>
      <c r="D37" s="26" t="s">
        <v>80</v>
      </c>
      <c r="E37" s="27" t="s">
        <v>81</v>
      </c>
      <c r="F37" s="23">
        <v>1.0</v>
      </c>
      <c r="G37" s="23">
        <v>1.0</v>
      </c>
      <c r="H37" s="23">
        <v>1.0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3.5" customHeight="1">
      <c r="B38" s="23">
        <v>34.0</v>
      </c>
      <c r="C38" s="30"/>
      <c r="D38" s="26" t="s">
        <v>82</v>
      </c>
      <c r="E38" s="27" t="s">
        <v>83</v>
      </c>
      <c r="F38" s="23">
        <v>1.0</v>
      </c>
      <c r="G38" s="23">
        <v>1.0</v>
      </c>
      <c r="H38" s="23">
        <v>1.0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3.5" customHeight="1">
      <c r="B39" s="23">
        <v>35.0</v>
      </c>
      <c r="C39" s="30"/>
      <c r="D39" s="26" t="s">
        <v>84</v>
      </c>
      <c r="E39" s="27" t="s">
        <v>85</v>
      </c>
      <c r="F39" s="23">
        <v>1.0</v>
      </c>
      <c r="G39" s="23">
        <v>1.0</v>
      </c>
      <c r="H39" s="23">
        <v>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3.5" customHeight="1">
      <c r="B40" s="23">
        <v>36.0</v>
      </c>
      <c r="C40" s="30"/>
      <c r="D40" s="26" t="s">
        <v>86</v>
      </c>
      <c r="E40" s="27" t="s">
        <v>87</v>
      </c>
      <c r="F40" s="23">
        <v>1.0</v>
      </c>
      <c r="G40" s="23">
        <v>1.0</v>
      </c>
      <c r="H40" s="23">
        <v>1.0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3.5" customHeight="1">
      <c r="B41" s="23">
        <v>37.0</v>
      </c>
      <c r="C41" s="30"/>
      <c r="D41" s="26" t="s">
        <v>88</v>
      </c>
      <c r="E41" s="27" t="s">
        <v>89</v>
      </c>
      <c r="F41" s="23">
        <v>1.0</v>
      </c>
      <c r="G41" s="23">
        <v>1.0</v>
      </c>
      <c r="H41" s="23">
        <v>1.0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3.5" customHeight="1">
      <c r="B42" s="23">
        <v>38.0</v>
      </c>
      <c r="C42" s="30"/>
      <c r="D42" s="26" t="s">
        <v>90</v>
      </c>
      <c r="E42" s="27" t="s">
        <v>91</v>
      </c>
      <c r="F42" s="23">
        <v>1.0</v>
      </c>
      <c r="G42" s="23">
        <v>1.0</v>
      </c>
      <c r="H42" s="23">
        <v>1.0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3.5" customHeight="1">
      <c r="B43" s="23">
        <v>39.0</v>
      </c>
      <c r="C43" s="30"/>
      <c r="D43" s="26" t="s">
        <v>92</v>
      </c>
      <c r="E43" s="27" t="s">
        <v>93</v>
      </c>
      <c r="F43" s="23">
        <v>1.0</v>
      </c>
      <c r="G43" s="23">
        <v>1.0</v>
      </c>
      <c r="H43" s="23">
        <v>1.0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3.5" customHeight="1">
      <c r="B44" s="23">
        <v>40.0</v>
      </c>
      <c r="C44" s="30"/>
      <c r="D44" s="26" t="s">
        <v>94</v>
      </c>
      <c r="E44" s="27" t="s">
        <v>95</v>
      </c>
      <c r="F44" s="23">
        <v>1.0</v>
      </c>
      <c r="G44" s="23">
        <v>1.0</v>
      </c>
      <c r="H44" s="23">
        <v>1.0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3.5" customHeight="1">
      <c r="B45" s="23">
        <v>41.0</v>
      </c>
      <c r="C45" s="30"/>
      <c r="D45" s="31" t="s">
        <v>96</v>
      </c>
      <c r="E45" s="32" t="s">
        <v>97</v>
      </c>
      <c r="F45" s="33">
        <v>0.0</v>
      </c>
      <c r="G45" s="33">
        <v>0.0</v>
      </c>
      <c r="H45" s="33">
        <v>0.0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13.5" customHeight="1">
      <c r="B46" s="23">
        <v>42.0</v>
      </c>
      <c r="C46" s="30"/>
      <c r="D46" s="26" t="s">
        <v>98</v>
      </c>
      <c r="E46" s="27" t="s">
        <v>99</v>
      </c>
      <c r="F46" s="23">
        <v>1.0</v>
      </c>
      <c r="G46" s="23">
        <v>1.0</v>
      </c>
      <c r="H46" s="23">
        <v>1.0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13.5" customHeight="1">
      <c r="B47" s="23">
        <v>43.0</v>
      </c>
      <c r="C47" s="30"/>
      <c r="D47" s="26" t="s">
        <v>100</v>
      </c>
      <c r="E47" s="27" t="s">
        <v>101</v>
      </c>
      <c r="F47" s="23">
        <v>1.0</v>
      </c>
      <c r="G47" s="23">
        <v>1.0</v>
      </c>
      <c r="H47" s="23">
        <v>1.0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13.5" customHeight="1">
      <c r="B48" s="23">
        <v>44.0</v>
      </c>
      <c r="C48" s="30"/>
      <c r="D48" s="26" t="s">
        <v>102</v>
      </c>
      <c r="E48" s="27" t="s">
        <v>103</v>
      </c>
      <c r="F48" s="23">
        <v>1.0</v>
      </c>
      <c r="G48" s="23">
        <v>1.0</v>
      </c>
      <c r="H48" s="23">
        <v>1.0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13.5" customHeight="1">
      <c r="B49" s="23">
        <v>45.0</v>
      </c>
      <c r="C49" s="30"/>
      <c r="D49" s="26" t="s">
        <v>104</v>
      </c>
      <c r="E49" s="27" t="s">
        <v>105</v>
      </c>
      <c r="F49" s="23">
        <v>1.0</v>
      </c>
      <c r="G49" s="23">
        <v>1.0</v>
      </c>
      <c r="H49" s="23">
        <v>1.0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3.5" customHeight="1">
      <c r="B50" s="23">
        <v>46.0</v>
      </c>
      <c r="C50" s="30"/>
      <c r="D50" s="26" t="s">
        <v>106</v>
      </c>
      <c r="E50" s="27" t="s">
        <v>107</v>
      </c>
      <c r="F50" s="23">
        <v>1.0</v>
      </c>
      <c r="G50" s="23">
        <v>1.0</v>
      </c>
      <c r="H50" s="23">
        <v>1.0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ht="13.5" customHeight="1">
      <c r="B51" s="23">
        <v>47.0</v>
      </c>
      <c r="C51" s="30"/>
      <c r="D51" s="26" t="s">
        <v>108</v>
      </c>
      <c r="E51" s="27" t="s">
        <v>109</v>
      </c>
      <c r="F51" s="23">
        <v>1.0</v>
      </c>
      <c r="G51" s="23">
        <v>1.0</v>
      </c>
      <c r="H51" s="23">
        <v>1.0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ht="13.5" customHeight="1">
      <c r="B52" s="23">
        <v>48.0</v>
      </c>
      <c r="C52" s="30"/>
      <c r="D52" s="26" t="s">
        <v>110</v>
      </c>
      <c r="E52" s="27" t="s">
        <v>111</v>
      </c>
      <c r="F52" s="23">
        <v>1.0</v>
      </c>
      <c r="G52" s="23">
        <v>1.0</v>
      </c>
      <c r="H52" s="23">
        <v>1.0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ht="13.5" customHeight="1">
      <c r="B53" s="23">
        <v>49.0</v>
      </c>
      <c r="C53" s="30"/>
      <c r="D53" s="26" t="s">
        <v>112</v>
      </c>
      <c r="E53" s="27" t="s">
        <v>113</v>
      </c>
      <c r="F53" s="23">
        <v>1.0</v>
      </c>
      <c r="G53" s="23">
        <v>1.0</v>
      </c>
      <c r="H53" s="23">
        <v>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13.5" customHeight="1">
      <c r="B54" s="23">
        <v>50.0</v>
      </c>
      <c r="C54" s="30"/>
      <c r="D54" s="26" t="s">
        <v>114</v>
      </c>
      <c r="E54" s="27" t="s">
        <v>115</v>
      </c>
      <c r="F54" s="23">
        <v>1.0</v>
      </c>
      <c r="G54" s="23">
        <v>1.0</v>
      </c>
      <c r="H54" s="23">
        <v>1.0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13.5" customHeight="1">
      <c r="B55" s="23">
        <v>51.0</v>
      </c>
      <c r="C55" s="30"/>
      <c r="D55" s="26" t="s">
        <v>116</v>
      </c>
      <c r="E55" s="27" t="s">
        <v>117</v>
      </c>
      <c r="F55" s="23">
        <v>1.0</v>
      </c>
      <c r="G55" s="23">
        <v>1.0</v>
      </c>
      <c r="H55" s="23">
        <v>1.0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13.5" customHeight="1">
      <c r="B56" s="23">
        <v>52.0</v>
      </c>
      <c r="C56" s="30"/>
      <c r="D56" s="26" t="s">
        <v>118</v>
      </c>
      <c r="E56" s="27" t="s">
        <v>119</v>
      </c>
      <c r="F56" s="23">
        <v>1.0</v>
      </c>
      <c r="G56" s="23">
        <v>1.0</v>
      </c>
      <c r="H56" s="23">
        <v>1.0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13.5" customHeight="1">
      <c r="B57" s="23">
        <v>53.0</v>
      </c>
      <c r="C57" s="30"/>
      <c r="D57" s="26" t="s">
        <v>120</v>
      </c>
      <c r="E57" s="27" t="s">
        <v>121</v>
      </c>
      <c r="F57" s="23">
        <v>1.0</v>
      </c>
      <c r="G57" s="23">
        <v>1.0</v>
      </c>
      <c r="H57" s="23">
        <v>1.0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13.5" customHeight="1">
      <c r="B58" s="23">
        <v>54.0</v>
      </c>
      <c r="C58" s="30"/>
      <c r="D58" s="26" t="s">
        <v>122</v>
      </c>
      <c r="E58" s="27" t="s">
        <v>123</v>
      </c>
      <c r="F58" s="23">
        <v>1.0</v>
      </c>
      <c r="G58" s="23">
        <v>1.0</v>
      </c>
      <c r="H58" s="23">
        <v>1.0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13.5" customHeight="1">
      <c r="B59" s="23">
        <v>55.0</v>
      </c>
      <c r="C59" s="30"/>
      <c r="D59" s="26" t="s">
        <v>124</v>
      </c>
      <c r="E59" s="27" t="s">
        <v>125</v>
      </c>
      <c r="F59" s="23">
        <v>1.0</v>
      </c>
      <c r="G59" s="23">
        <v>1.0</v>
      </c>
      <c r="H59" s="23">
        <v>1.0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3.5" customHeight="1">
      <c r="B60" s="23">
        <v>56.0</v>
      </c>
      <c r="C60" s="30"/>
      <c r="D60" s="26" t="s">
        <v>126</v>
      </c>
      <c r="E60" s="27" t="s">
        <v>127</v>
      </c>
      <c r="F60" s="23">
        <v>1.0</v>
      </c>
      <c r="G60" s="23">
        <v>1.0</v>
      </c>
      <c r="H60" s="23">
        <v>1.0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13.5" customHeight="1">
      <c r="B61" s="23">
        <v>57.0</v>
      </c>
      <c r="C61" s="30"/>
      <c r="D61" s="26" t="s">
        <v>128</v>
      </c>
      <c r="E61" s="27" t="s">
        <v>129</v>
      </c>
      <c r="F61" s="23">
        <v>1.0</v>
      </c>
      <c r="G61" s="23">
        <v>1.0</v>
      </c>
      <c r="H61" s="23">
        <v>1.0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13.5" customHeight="1">
      <c r="B62" s="23">
        <v>58.0</v>
      </c>
      <c r="C62" s="30"/>
      <c r="D62" s="31" t="s">
        <v>130</v>
      </c>
      <c r="E62" s="32" t="s">
        <v>131</v>
      </c>
      <c r="F62" s="33">
        <v>0.0</v>
      </c>
      <c r="G62" s="33">
        <v>0.0</v>
      </c>
      <c r="H62" s="33">
        <v>1.0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13.5" customHeight="1">
      <c r="B63" s="23">
        <v>59.0</v>
      </c>
      <c r="C63" s="30"/>
      <c r="D63" s="26" t="s">
        <v>132</v>
      </c>
      <c r="E63" s="27" t="s">
        <v>133</v>
      </c>
      <c r="F63" s="23">
        <v>1.0</v>
      </c>
      <c r="G63" s="23">
        <v>1.0</v>
      </c>
      <c r="H63" s="23">
        <v>1.0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13.5" customHeight="1">
      <c r="B64" s="23">
        <v>60.0</v>
      </c>
      <c r="C64" s="30"/>
      <c r="D64" s="26" t="s">
        <v>134</v>
      </c>
      <c r="E64" s="27" t="s">
        <v>135</v>
      </c>
      <c r="F64" s="23">
        <v>1.0</v>
      </c>
      <c r="G64" s="23">
        <v>1.0</v>
      </c>
      <c r="H64" s="23">
        <v>1.0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13.5" customHeight="1">
      <c r="B65" s="23">
        <v>61.0</v>
      </c>
      <c r="C65" s="30"/>
      <c r="D65" s="31" t="s">
        <v>136</v>
      </c>
      <c r="E65" s="32" t="s">
        <v>137</v>
      </c>
      <c r="F65" s="33">
        <v>0.0</v>
      </c>
      <c r="G65" s="33">
        <v>0.0</v>
      </c>
      <c r="H65" s="33">
        <v>1.0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13.5" customHeight="1">
      <c r="B66" s="23">
        <v>62.0</v>
      </c>
      <c r="C66" s="30"/>
      <c r="D66" s="26" t="s">
        <v>138</v>
      </c>
      <c r="E66" s="27" t="s">
        <v>139</v>
      </c>
      <c r="F66" s="23">
        <v>1.0</v>
      </c>
      <c r="G66" s="23">
        <v>1.0</v>
      </c>
      <c r="H66" s="23">
        <v>1.0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13.5" customHeight="1">
      <c r="B67" s="23">
        <v>63.0</v>
      </c>
      <c r="C67" s="30"/>
      <c r="D67" s="26" t="s">
        <v>140</v>
      </c>
      <c r="E67" s="27" t="s">
        <v>141</v>
      </c>
      <c r="F67" s="23">
        <v>1.0</v>
      </c>
      <c r="G67" s="23">
        <v>1.0</v>
      </c>
      <c r="H67" s="23">
        <v>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13.5" customHeight="1">
      <c r="B68" s="23">
        <v>64.0</v>
      </c>
      <c r="C68" s="30"/>
      <c r="D68" s="31" t="s">
        <v>142</v>
      </c>
      <c r="E68" s="32" t="s">
        <v>143</v>
      </c>
      <c r="F68" s="33">
        <v>0.0</v>
      </c>
      <c r="G68" s="33">
        <v>0.0</v>
      </c>
      <c r="H68" s="33">
        <v>1.0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13.5" customHeight="1">
      <c r="B69" s="23">
        <v>65.0</v>
      </c>
      <c r="C69" s="30"/>
      <c r="D69" s="26" t="s">
        <v>144</v>
      </c>
      <c r="E69" s="27" t="s">
        <v>145</v>
      </c>
      <c r="F69" s="23">
        <v>1.0</v>
      </c>
      <c r="G69" s="23">
        <v>1.0</v>
      </c>
      <c r="H69" s="23">
        <v>1.0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13.5" customHeight="1">
      <c r="B70" s="23">
        <v>66.0</v>
      </c>
      <c r="C70" s="30"/>
      <c r="D70" s="31" t="s">
        <v>146</v>
      </c>
      <c r="E70" s="32" t="s">
        <v>147</v>
      </c>
      <c r="F70" s="33">
        <v>0.0</v>
      </c>
      <c r="G70" s="33">
        <v>0.0</v>
      </c>
      <c r="H70" s="33">
        <v>1.0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13.5" customHeight="1">
      <c r="B71" s="23">
        <v>67.0</v>
      </c>
      <c r="C71" s="30"/>
      <c r="D71" s="26" t="s">
        <v>148</v>
      </c>
      <c r="E71" s="27" t="s">
        <v>149</v>
      </c>
      <c r="F71" s="23">
        <v>1.0</v>
      </c>
      <c r="G71" s="23">
        <v>1.0</v>
      </c>
      <c r="H71" s="23">
        <v>1.0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13.5" customHeight="1">
      <c r="B72" s="23">
        <v>68.0</v>
      </c>
      <c r="C72" s="30"/>
      <c r="D72" s="26" t="s">
        <v>150</v>
      </c>
      <c r="E72" s="27" t="s">
        <v>151</v>
      </c>
      <c r="F72" s="23">
        <v>1.0</v>
      </c>
      <c r="G72" s="23">
        <v>1.0</v>
      </c>
      <c r="H72" s="23">
        <v>1.0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13.5" customHeight="1">
      <c r="B73" s="23">
        <v>69.0</v>
      </c>
      <c r="C73" s="30"/>
      <c r="D73" s="31" t="s">
        <v>152</v>
      </c>
      <c r="E73" s="32" t="s">
        <v>153</v>
      </c>
      <c r="F73" s="33">
        <v>0.0</v>
      </c>
      <c r="G73" s="33">
        <v>1.0</v>
      </c>
      <c r="H73" s="33">
        <v>1.0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13.5" customHeight="1">
      <c r="B74" s="23">
        <v>70.0</v>
      </c>
      <c r="C74" s="30"/>
      <c r="D74" s="26" t="s">
        <v>154</v>
      </c>
      <c r="E74" s="27" t="s">
        <v>155</v>
      </c>
      <c r="F74" s="23">
        <v>1.0</v>
      </c>
      <c r="G74" s="23">
        <v>1.0</v>
      </c>
      <c r="H74" s="23">
        <v>1.0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13.5" customHeight="1">
      <c r="B75" s="23">
        <v>71.0</v>
      </c>
      <c r="C75" s="30"/>
      <c r="D75" s="26" t="s">
        <v>156</v>
      </c>
      <c r="E75" s="27" t="s">
        <v>157</v>
      </c>
      <c r="F75" s="23">
        <v>1.0</v>
      </c>
      <c r="G75" s="23">
        <v>1.0</v>
      </c>
      <c r="H75" s="23">
        <v>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13.5" customHeight="1">
      <c r="B76" s="23">
        <v>72.0</v>
      </c>
      <c r="C76" s="30"/>
      <c r="D76" s="26" t="s">
        <v>158</v>
      </c>
      <c r="E76" s="27" t="s">
        <v>159</v>
      </c>
      <c r="F76" s="23">
        <v>1.0</v>
      </c>
      <c r="G76" s="23">
        <v>1.0</v>
      </c>
      <c r="H76" s="23">
        <v>1.0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13.5" customHeight="1">
      <c r="B77" s="23">
        <v>73.0</v>
      </c>
      <c r="C77" s="30"/>
      <c r="D77" s="26" t="s">
        <v>160</v>
      </c>
      <c r="E77" s="27" t="s">
        <v>161</v>
      </c>
      <c r="F77" s="23">
        <v>1.0</v>
      </c>
      <c r="G77" s="23">
        <v>1.0</v>
      </c>
      <c r="H77" s="23">
        <v>1.0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13.5" customHeight="1">
      <c r="B78" s="23">
        <v>74.0</v>
      </c>
      <c r="C78" s="30"/>
      <c r="D78" s="26" t="s">
        <v>162</v>
      </c>
      <c r="E78" s="27" t="s">
        <v>163</v>
      </c>
      <c r="F78" s="23">
        <v>1.0</v>
      </c>
      <c r="G78" s="23">
        <v>1.0</v>
      </c>
      <c r="H78" s="23">
        <v>1.0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13.5" customHeight="1">
      <c r="B79" s="23">
        <v>75.0</v>
      </c>
      <c r="C79" s="30"/>
      <c r="D79" s="31" t="s">
        <v>164</v>
      </c>
      <c r="E79" s="32" t="s">
        <v>165</v>
      </c>
      <c r="F79" s="33">
        <v>0.0</v>
      </c>
      <c r="G79" s="33">
        <v>1.0</v>
      </c>
      <c r="H79" s="33">
        <v>1.0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13.5" customHeight="1">
      <c r="B80" s="23">
        <v>76.0</v>
      </c>
      <c r="C80" s="30"/>
      <c r="D80" s="26" t="s">
        <v>166</v>
      </c>
      <c r="E80" s="27" t="s">
        <v>167</v>
      </c>
      <c r="F80" s="23">
        <v>1.0</v>
      </c>
      <c r="G80" s="23">
        <v>1.0</v>
      </c>
      <c r="H80" s="23">
        <v>1.0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13.5" customHeight="1">
      <c r="B81" s="23">
        <v>77.0</v>
      </c>
      <c r="C81" s="30"/>
      <c r="D81" s="26" t="s">
        <v>168</v>
      </c>
      <c r="E81" s="27" t="s">
        <v>169</v>
      </c>
      <c r="F81" s="23">
        <v>1.0</v>
      </c>
      <c r="G81" s="23">
        <v>1.0</v>
      </c>
      <c r="H81" s="23">
        <v>1.0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13.5" customHeight="1">
      <c r="B82" s="23">
        <v>78.0</v>
      </c>
      <c r="C82" s="30"/>
      <c r="D82" s="26" t="s">
        <v>170</v>
      </c>
      <c r="E82" s="27" t="s">
        <v>171</v>
      </c>
      <c r="F82" s="23">
        <v>1.0</v>
      </c>
      <c r="G82" s="23">
        <v>1.0</v>
      </c>
      <c r="H82" s="23">
        <v>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3.5" customHeight="1">
      <c r="B83" s="23">
        <v>79.0</v>
      </c>
      <c r="C83" s="30"/>
      <c r="D83" s="26" t="s">
        <v>172</v>
      </c>
      <c r="E83" s="27" t="s">
        <v>173</v>
      </c>
      <c r="F83" s="23">
        <v>1.0</v>
      </c>
      <c r="G83" s="23">
        <v>1.0</v>
      </c>
      <c r="H83" s="23">
        <v>1.0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3.5" customHeight="1">
      <c r="B84" s="23">
        <v>80.0</v>
      </c>
      <c r="C84" s="30"/>
      <c r="D84" s="31" t="s">
        <v>174</v>
      </c>
      <c r="E84" s="32" t="s">
        <v>175</v>
      </c>
      <c r="F84" s="33">
        <v>0.0</v>
      </c>
      <c r="G84" s="33">
        <v>1.0</v>
      </c>
      <c r="H84" s="33">
        <v>1.0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3.5" customHeight="1">
      <c r="B85" s="23">
        <v>81.0</v>
      </c>
      <c r="C85" s="30"/>
      <c r="D85" s="26" t="s">
        <v>176</v>
      </c>
      <c r="E85" s="27" t="s">
        <v>177</v>
      </c>
      <c r="F85" s="23">
        <v>1.0</v>
      </c>
      <c r="G85" s="23">
        <v>1.0</v>
      </c>
      <c r="H85" s="23">
        <v>1.0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3.5" customHeight="1">
      <c r="B86" s="23">
        <v>82.0</v>
      </c>
      <c r="C86" s="30"/>
      <c r="D86" s="26" t="s">
        <v>178</v>
      </c>
      <c r="E86" s="27" t="s">
        <v>179</v>
      </c>
      <c r="F86" s="23">
        <v>1.0</v>
      </c>
      <c r="G86" s="23">
        <v>1.0</v>
      </c>
      <c r="H86" s="23">
        <v>1.0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3.5" customHeight="1">
      <c r="B87" s="23">
        <v>83.0</v>
      </c>
      <c r="C87" s="30"/>
      <c r="D87" s="31" t="s">
        <v>180</v>
      </c>
      <c r="E87" s="32" t="s">
        <v>181</v>
      </c>
      <c r="F87" s="33">
        <v>0.0</v>
      </c>
      <c r="G87" s="33">
        <v>1.0</v>
      </c>
      <c r="H87" s="33">
        <v>1.0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3.5" customHeight="1">
      <c r="B88" s="23">
        <v>84.0</v>
      </c>
      <c r="C88" s="30"/>
      <c r="D88" s="31" t="s">
        <v>182</v>
      </c>
      <c r="E88" s="32" t="s">
        <v>183</v>
      </c>
      <c r="F88" s="33">
        <v>0.0</v>
      </c>
      <c r="G88" s="33">
        <v>1.0</v>
      </c>
      <c r="H88" s="33">
        <v>1.0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3.5" customHeight="1">
      <c r="B89" s="23">
        <v>85.0</v>
      </c>
      <c r="C89" s="30"/>
      <c r="D89" s="26" t="s">
        <v>184</v>
      </c>
      <c r="E89" s="27" t="s">
        <v>185</v>
      </c>
      <c r="F89" s="23">
        <v>1.0</v>
      </c>
      <c r="G89" s="23">
        <v>1.0</v>
      </c>
      <c r="H89" s="23">
        <v>1.0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3.5" customHeight="1">
      <c r="B90" s="23">
        <v>86.0</v>
      </c>
      <c r="C90" s="30"/>
      <c r="D90" s="26" t="s">
        <v>186</v>
      </c>
      <c r="E90" s="27" t="s">
        <v>187</v>
      </c>
      <c r="F90" s="23">
        <v>1.0</v>
      </c>
      <c r="G90" s="23">
        <v>1.0</v>
      </c>
      <c r="H90" s="23">
        <v>1.0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3.5" customHeight="1">
      <c r="B91" s="23">
        <v>87.0</v>
      </c>
      <c r="C91" s="30"/>
      <c r="D91" s="31" t="s">
        <v>188</v>
      </c>
      <c r="E91" s="32" t="s">
        <v>189</v>
      </c>
      <c r="F91" s="33">
        <v>1.0</v>
      </c>
      <c r="G91" s="33">
        <v>1.0</v>
      </c>
      <c r="H91" s="33">
        <v>0.0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3.5" customHeight="1">
      <c r="B92" s="23">
        <v>88.0</v>
      </c>
      <c r="C92" s="30"/>
      <c r="D92" s="26" t="s">
        <v>190</v>
      </c>
      <c r="E92" s="27" t="s">
        <v>191</v>
      </c>
      <c r="F92" s="23">
        <v>1.0</v>
      </c>
      <c r="G92" s="23">
        <v>1.0</v>
      </c>
      <c r="H92" s="23">
        <v>1.0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3.5" customHeight="1">
      <c r="B93" s="23">
        <v>89.0</v>
      </c>
      <c r="C93" s="30"/>
      <c r="D93" s="26" t="s">
        <v>192</v>
      </c>
      <c r="E93" s="27" t="s">
        <v>193</v>
      </c>
      <c r="F93" s="23">
        <v>1.0</v>
      </c>
      <c r="G93" s="23">
        <v>1.0</v>
      </c>
      <c r="H93" s="23">
        <v>1.0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3.5" customHeight="1">
      <c r="B94" s="23">
        <v>90.0</v>
      </c>
      <c r="C94" s="30"/>
      <c r="D94" s="31" t="s">
        <v>194</v>
      </c>
      <c r="E94" s="32" t="s">
        <v>195</v>
      </c>
      <c r="F94" s="33">
        <v>0.0</v>
      </c>
      <c r="G94" s="33">
        <v>1.0</v>
      </c>
      <c r="H94" s="33">
        <v>1.0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3.5" customHeight="1">
      <c r="B95" s="23">
        <v>91.0</v>
      </c>
      <c r="C95" s="30"/>
      <c r="D95" s="31" t="s">
        <v>196</v>
      </c>
      <c r="E95" s="32" t="s">
        <v>197</v>
      </c>
      <c r="F95" s="33">
        <v>0.0</v>
      </c>
      <c r="G95" s="33">
        <v>0.0</v>
      </c>
      <c r="H95" s="33">
        <v>1.0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3.5" customHeight="1">
      <c r="B96" s="23">
        <v>92.0</v>
      </c>
      <c r="C96" s="30"/>
      <c r="D96" s="26" t="s">
        <v>198</v>
      </c>
      <c r="E96" s="27" t="s">
        <v>199</v>
      </c>
      <c r="F96" s="23">
        <v>1.0</v>
      </c>
      <c r="G96" s="23">
        <v>1.0</v>
      </c>
      <c r="H96" s="23">
        <v>1.0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3.5" customHeight="1">
      <c r="B97" s="23">
        <v>93.0</v>
      </c>
      <c r="C97" s="30"/>
      <c r="D97" s="26" t="s">
        <v>200</v>
      </c>
      <c r="E97" s="27" t="s">
        <v>201</v>
      </c>
      <c r="F97" s="23">
        <v>1.0</v>
      </c>
      <c r="G97" s="23">
        <v>1.0</v>
      </c>
      <c r="H97" s="23">
        <v>1.0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3.5" customHeight="1">
      <c r="B98" s="23">
        <v>94.0</v>
      </c>
      <c r="C98" s="30"/>
      <c r="D98" s="26" t="s">
        <v>202</v>
      </c>
      <c r="E98" s="27" t="s">
        <v>203</v>
      </c>
      <c r="F98" s="23">
        <v>1.0</v>
      </c>
      <c r="G98" s="23">
        <v>1.0</v>
      </c>
      <c r="H98" s="23">
        <v>1.0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3.5" customHeight="1">
      <c r="B99" s="23">
        <v>95.0</v>
      </c>
      <c r="C99" s="30"/>
      <c r="D99" s="26" t="s">
        <v>204</v>
      </c>
      <c r="E99" s="27" t="s">
        <v>205</v>
      </c>
      <c r="F99" s="23">
        <v>1.0</v>
      </c>
      <c r="G99" s="23">
        <v>1.0</v>
      </c>
      <c r="H99" s="23">
        <v>1.0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3.5" customHeight="1">
      <c r="B100" s="23">
        <v>96.0</v>
      </c>
      <c r="C100" s="30"/>
      <c r="D100" s="26" t="s">
        <v>206</v>
      </c>
      <c r="E100" s="27" t="s">
        <v>207</v>
      </c>
      <c r="F100" s="23">
        <v>1.0</v>
      </c>
      <c r="G100" s="23">
        <v>1.0</v>
      </c>
      <c r="H100" s="23">
        <v>1.0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3.5" customHeight="1">
      <c r="B101" s="23">
        <v>97.0</v>
      </c>
      <c r="C101" s="30"/>
      <c r="D101" s="26" t="s">
        <v>208</v>
      </c>
      <c r="E101" s="27" t="s">
        <v>209</v>
      </c>
      <c r="F101" s="23">
        <v>1.0</v>
      </c>
      <c r="G101" s="23">
        <v>1.0</v>
      </c>
      <c r="H101" s="23">
        <v>1.0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3.5" customHeight="1">
      <c r="B102" s="23">
        <v>98.0</v>
      </c>
      <c r="C102" s="30"/>
      <c r="D102" s="26" t="s">
        <v>210</v>
      </c>
      <c r="E102" s="27" t="s">
        <v>211</v>
      </c>
      <c r="F102" s="23">
        <v>1.0</v>
      </c>
      <c r="G102" s="23">
        <v>1.0</v>
      </c>
      <c r="H102" s="23">
        <v>1.0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3.5" customHeight="1">
      <c r="B103" s="23">
        <v>99.0</v>
      </c>
      <c r="C103" s="30"/>
      <c r="D103" s="26" t="s">
        <v>212</v>
      </c>
      <c r="E103" s="27" t="s">
        <v>213</v>
      </c>
      <c r="F103" s="23">
        <v>1.0</v>
      </c>
      <c r="G103" s="23">
        <v>1.0</v>
      </c>
      <c r="H103" s="23">
        <v>1.0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3.5" customHeight="1">
      <c r="B104" s="23">
        <v>100.0</v>
      </c>
      <c r="C104" s="30"/>
      <c r="D104" s="26" t="s">
        <v>214</v>
      </c>
      <c r="E104" s="27" t="s">
        <v>215</v>
      </c>
      <c r="F104" s="23">
        <v>1.0</v>
      </c>
      <c r="G104" s="23">
        <v>1.0</v>
      </c>
      <c r="H104" s="23">
        <v>1.0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3.5" customHeight="1">
      <c r="B105" s="23">
        <v>101.0</v>
      </c>
      <c r="C105" s="30"/>
      <c r="D105" s="26" t="s">
        <v>216</v>
      </c>
      <c r="E105" s="27" t="s">
        <v>217</v>
      </c>
      <c r="F105" s="23">
        <v>1.0</v>
      </c>
      <c r="G105" s="23">
        <v>1.0</v>
      </c>
      <c r="H105" s="23">
        <v>1.0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3.5" customHeight="1">
      <c r="B106" s="23">
        <v>102.0</v>
      </c>
      <c r="C106" s="30"/>
      <c r="D106" s="26" t="s">
        <v>218</v>
      </c>
      <c r="E106" s="27" t="s">
        <v>219</v>
      </c>
      <c r="F106" s="23">
        <v>1.0</v>
      </c>
      <c r="G106" s="23">
        <v>1.0</v>
      </c>
      <c r="H106" s="23">
        <v>1.0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3.5" customHeight="1">
      <c r="B107" s="23">
        <v>103.0</v>
      </c>
      <c r="C107" s="30"/>
      <c r="D107" s="26" t="s">
        <v>220</v>
      </c>
      <c r="E107" s="27" t="s">
        <v>221</v>
      </c>
      <c r="F107" s="23">
        <v>1.0</v>
      </c>
      <c r="G107" s="23">
        <v>1.0</v>
      </c>
      <c r="H107" s="23">
        <v>1.0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3.5" customHeight="1">
      <c r="B108" s="23">
        <v>104.0</v>
      </c>
      <c r="C108" s="30"/>
      <c r="D108" s="26" t="s">
        <v>222</v>
      </c>
      <c r="E108" s="27" t="s">
        <v>223</v>
      </c>
      <c r="F108" s="23">
        <v>1.0</v>
      </c>
      <c r="G108" s="23">
        <v>1.0</v>
      </c>
      <c r="H108" s="23">
        <v>1.0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3.5" customHeight="1">
      <c r="B109" s="23">
        <v>105.0</v>
      </c>
      <c r="C109" s="30"/>
      <c r="D109" s="26" t="s">
        <v>224</v>
      </c>
      <c r="E109" s="27" t="s">
        <v>225</v>
      </c>
      <c r="F109" s="23">
        <v>1.0</v>
      </c>
      <c r="G109" s="23">
        <v>1.0</v>
      </c>
      <c r="H109" s="23">
        <v>1.0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3.5" customHeight="1">
      <c r="B110" s="23">
        <v>106.0</v>
      </c>
      <c r="C110" s="30"/>
      <c r="D110" s="26" t="s">
        <v>226</v>
      </c>
      <c r="E110" s="27" t="s">
        <v>227</v>
      </c>
      <c r="F110" s="23">
        <v>1.0</v>
      </c>
      <c r="G110" s="23">
        <v>1.0</v>
      </c>
      <c r="H110" s="23">
        <v>1.0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3.5" customHeight="1">
      <c r="B111" s="23">
        <v>107.0</v>
      </c>
      <c r="C111" s="30"/>
      <c r="D111" s="26" t="s">
        <v>228</v>
      </c>
      <c r="E111" s="27" t="s">
        <v>229</v>
      </c>
      <c r="F111" s="23">
        <v>1.0</v>
      </c>
      <c r="G111" s="23">
        <v>1.0</v>
      </c>
      <c r="H111" s="23">
        <v>1.0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3.5" customHeight="1">
      <c r="B112" s="23">
        <v>108.0</v>
      </c>
      <c r="C112" s="30"/>
      <c r="D112" s="26" t="s">
        <v>230</v>
      </c>
      <c r="E112" s="27" t="s">
        <v>231</v>
      </c>
      <c r="F112" s="23">
        <v>1.0</v>
      </c>
      <c r="G112" s="23">
        <v>1.0</v>
      </c>
      <c r="H112" s="23">
        <v>1.0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3.5" customHeight="1">
      <c r="B113" s="23">
        <v>109.0</v>
      </c>
      <c r="C113" s="30"/>
      <c r="D113" s="31" t="s">
        <v>232</v>
      </c>
      <c r="E113" s="32" t="s">
        <v>233</v>
      </c>
      <c r="F113" s="33">
        <v>0.0</v>
      </c>
      <c r="G113" s="33">
        <v>0.0</v>
      </c>
      <c r="H113" s="33">
        <v>0.0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3.5" customHeight="1">
      <c r="B114" s="23">
        <v>110.0</v>
      </c>
      <c r="C114" s="30"/>
      <c r="D114" s="26" t="s">
        <v>234</v>
      </c>
      <c r="E114" s="27" t="s">
        <v>235</v>
      </c>
      <c r="F114" s="23">
        <v>1.0</v>
      </c>
      <c r="G114" s="23">
        <v>1.0</v>
      </c>
      <c r="H114" s="23">
        <v>1.0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3.5" customHeight="1">
      <c r="B115" s="23">
        <v>111.0</v>
      </c>
      <c r="C115" s="30"/>
      <c r="D115" s="31" t="s">
        <v>236</v>
      </c>
      <c r="E115" s="32" t="s">
        <v>237</v>
      </c>
      <c r="F115" s="33">
        <v>0.0</v>
      </c>
      <c r="G115" s="33">
        <v>0.0</v>
      </c>
      <c r="H115" s="33">
        <v>0.0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3.5" customHeight="1">
      <c r="B116" s="23">
        <v>112.0</v>
      </c>
      <c r="C116" s="30"/>
      <c r="D116" s="31" t="s">
        <v>238</v>
      </c>
      <c r="E116" s="32" t="s">
        <v>239</v>
      </c>
      <c r="F116" s="33">
        <v>1.0</v>
      </c>
      <c r="G116" s="33">
        <v>1.0</v>
      </c>
      <c r="H116" s="33">
        <v>0.0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3.5" customHeight="1">
      <c r="B117" s="23">
        <v>113.0</v>
      </c>
      <c r="C117" s="30"/>
      <c r="D117" s="26" t="s">
        <v>240</v>
      </c>
      <c r="E117" s="27" t="s">
        <v>241</v>
      </c>
      <c r="F117" s="23">
        <v>1.0</v>
      </c>
      <c r="G117" s="23">
        <v>1.0</v>
      </c>
      <c r="H117" s="23">
        <v>1.0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3.5" customHeight="1">
      <c r="B118" s="23">
        <v>114.0</v>
      </c>
      <c r="C118" s="30"/>
      <c r="D118" s="26" t="s">
        <v>242</v>
      </c>
      <c r="E118" s="27" t="s">
        <v>243</v>
      </c>
      <c r="F118" s="23">
        <v>1.0</v>
      </c>
      <c r="G118" s="23">
        <v>1.0</v>
      </c>
      <c r="H118" s="23">
        <v>1.0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3.5" customHeight="1">
      <c r="B119" s="23">
        <v>115.0</v>
      </c>
      <c r="C119" s="30"/>
      <c r="D119" s="31" t="s">
        <v>244</v>
      </c>
      <c r="E119" s="32" t="s">
        <v>245</v>
      </c>
      <c r="F119" s="33">
        <v>0.0</v>
      </c>
      <c r="G119" s="33">
        <v>0.0</v>
      </c>
      <c r="H119" s="33">
        <v>0.0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3.5" customHeight="1">
      <c r="B120" s="23">
        <v>116.0</v>
      </c>
      <c r="C120" s="30"/>
      <c r="D120" s="31" t="s">
        <v>246</v>
      </c>
      <c r="E120" s="32" t="s">
        <v>247</v>
      </c>
      <c r="F120" s="33">
        <v>0.0</v>
      </c>
      <c r="G120" s="33">
        <v>1.0</v>
      </c>
      <c r="H120" s="33">
        <v>1.0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3.5" customHeight="1">
      <c r="B121" s="23">
        <v>117.0</v>
      </c>
      <c r="C121" s="30"/>
      <c r="D121" s="26" t="s">
        <v>248</v>
      </c>
      <c r="E121" s="27" t="s">
        <v>249</v>
      </c>
      <c r="F121" s="23">
        <v>1.0</v>
      </c>
      <c r="G121" s="23">
        <v>1.0</v>
      </c>
      <c r="H121" s="23">
        <v>1.0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3.5" customHeight="1">
      <c r="B122" s="23">
        <v>118.0</v>
      </c>
      <c r="C122" s="30"/>
      <c r="D122" s="26" t="s">
        <v>250</v>
      </c>
      <c r="E122" s="27" t="s">
        <v>251</v>
      </c>
      <c r="F122" s="23">
        <v>1.0</v>
      </c>
      <c r="G122" s="23">
        <v>1.0</v>
      </c>
      <c r="H122" s="23">
        <v>1.0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3.5" customHeight="1">
      <c r="B123" s="23">
        <v>119.0</v>
      </c>
      <c r="C123" s="30"/>
      <c r="D123" s="26" t="s">
        <v>252</v>
      </c>
      <c r="E123" s="27" t="s">
        <v>253</v>
      </c>
      <c r="F123" s="23">
        <v>1.0</v>
      </c>
      <c r="G123" s="23">
        <v>1.0</v>
      </c>
      <c r="H123" s="23">
        <v>1.0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3.5" customHeight="1">
      <c r="B124" s="23">
        <v>120.0</v>
      </c>
      <c r="C124" s="30"/>
      <c r="D124" s="31" t="s">
        <v>254</v>
      </c>
      <c r="E124" s="32" t="s">
        <v>255</v>
      </c>
      <c r="F124" s="33">
        <v>1.0</v>
      </c>
      <c r="G124" s="33">
        <v>1.0</v>
      </c>
      <c r="H124" s="33">
        <v>0.0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3.5" customHeight="1">
      <c r="B125" s="23">
        <v>121.0</v>
      </c>
      <c r="C125" s="30"/>
      <c r="D125" s="26" t="s">
        <v>256</v>
      </c>
      <c r="E125" s="27" t="s">
        <v>257</v>
      </c>
      <c r="F125" s="23">
        <v>1.0</v>
      </c>
      <c r="G125" s="23">
        <v>1.0</v>
      </c>
      <c r="H125" s="23">
        <v>1.0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3.5" customHeight="1">
      <c r="B126" s="23">
        <v>122.0</v>
      </c>
      <c r="C126" s="30"/>
      <c r="D126" s="26" t="s">
        <v>258</v>
      </c>
      <c r="E126" s="27" t="s">
        <v>259</v>
      </c>
      <c r="F126" s="23">
        <v>1.0</v>
      </c>
      <c r="G126" s="23">
        <v>1.0</v>
      </c>
      <c r="H126" s="23">
        <v>1.0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3.5" customHeight="1">
      <c r="B127" s="23">
        <v>123.0</v>
      </c>
      <c r="C127" s="34"/>
      <c r="D127" s="26" t="s">
        <v>260</v>
      </c>
      <c r="E127" s="27" t="s">
        <v>261</v>
      </c>
      <c r="F127" s="23">
        <v>1.0</v>
      </c>
      <c r="G127" s="23">
        <v>1.0</v>
      </c>
      <c r="H127" s="23">
        <v>1.0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3.5" customHeight="1">
      <c r="A128" s="35"/>
      <c r="B128" s="17"/>
      <c r="C128" s="13"/>
      <c r="D128" s="18"/>
      <c r="E128" s="18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3.5" customHeight="1">
      <c r="A129" s="13"/>
      <c r="B129" s="17"/>
      <c r="C129" s="36" t="s">
        <v>262</v>
      </c>
      <c r="D129" s="37"/>
      <c r="E129" s="38" t="s">
        <v>263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3.5" customHeight="1">
      <c r="A130" s="13"/>
      <c r="B130" s="17"/>
      <c r="D130" s="38"/>
      <c r="E130" s="38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3.5" customHeight="1">
      <c r="A131" s="13"/>
      <c r="B131" s="17"/>
      <c r="D131" s="39" t="s">
        <v>264</v>
      </c>
      <c r="E131" s="40"/>
      <c r="F131" s="29" t="s">
        <v>13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3.5" customHeight="1">
      <c r="A132" s="13"/>
      <c r="B132" s="17"/>
      <c r="D132" s="41" t="s">
        <v>265</v>
      </c>
      <c r="E132" s="42"/>
      <c r="F132" s="43">
        <v>123.0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39.0" customHeight="1">
      <c r="A133" s="13"/>
      <c r="B133" s="17"/>
      <c r="D133" s="44"/>
      <c r="E133" s="45"/>
      <c r="F133" s="4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3.5" customHeight="1">
      <c r="A134" s="13"/>
      <c r="B134" s="17"/>
      <c r="D134" s="41" t="s">
        <v>266</v>
      </c>
      <c r="E134" s="42"/>
      <c r="F134" s="43">
        <v>19.0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34.5" customHeight="1">
      <c r="A135" s="13"/>
      <c r="B135" s="17"/>
      <c r="D135" s="44"/>
      <c r="E135" s="45"/>
      <c r="F135" s="4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3.5" customHeight="1">
      <c r="A136" s="13"/>
      <c r="B136" s="17"/>
      <c r="D136" s="47" t="s">
        <v>267</v>
      </c>
      <c r="E136" s="42"/>
      <c r="F136" s="43" t="str">
        <f>F132-F134</f>
        <v>104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35.25" customHeight="1">
      <c r="A137" s="13"/>
      <c r="B137" s="17"/>
      <c r="D137" s="44"/>
      <c r="E137" s="45"/>
      <c r="F137" s="4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3.5" customHeight="1">
      <c r="A138" s="13"/>
      <c r="B138" s="17"/>
      <c r="C138" s="13"/>
      <c r="D138" s="18"/>
      <c r="E138" s="18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3.5" customHeight="1">
      <c r="A139" s="13"/>
      <c r="B139" s="17"/>
      <c r="C139" s="13"/>
      <c r="D139" s="18"/>
      <c r="E139" s="18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3.5" customHeight="1">
      <c r="A140" s="13"/>
      <c r="B140" s="17"/>
      <c r="C140" s="13"/>
      <c r="D140" s="18"/>
      <c r="E140" s="18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3.5" customHeight="1">
      <c r="A141" s="13"/>
      <c r="B141" s="17"/>
      <c r="C141" s="13"/>
      <c r="D141" s="18"/>
      <c r="E141" s="18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3.5" customHeight="1">
      <c r="A142" s="13"/>
      <c r="B142" s="17"/>
      <c r="C142" s="13"/>
      <c r="D142" s="18"/>
      <c r="E142" s="18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3.5" customHeight="1">
      <c r="A143" s="13"/>
      <c r="B143" s="17"/>
      <c r="C143" s="13"/>
      <c r="D143" s="18"/>
      <c r="E143" s="18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3.5" customHeight="1">
      <c r="A144" s="13"/>
      <c r="B144" s="17"/>
      <c r="C144" s="13"/>
      <c r="D144" s="18"/>
      <c r="E144" s="18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3.5" customHeight="1">
      <c r="A145" s="13"/>
      <c r="B145" s="17"/>
      <c r="C145" s="13"/>
      <c r="D145" s="18"/>
      <c r="E145" s="18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3.5" customHeight="1">
      <c r="A146" s="13"/>
      <c r="B146" s="17"/>
      <c r="C146" s="13"/>
      <c r="D146" s="18"/>
      <c r="E146" s="18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3.5" customHeight="1">
      <c r="A147" s="13"/>
      <c r="B147" s="17"/>
      <c r="C147" s="13"/>
      <c r="D147" s="18"/>
      <c r="E147" s="18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3.5" customHeight="1">
      <c r="A148" s="13"/>
      <c r="B148" s="17"/>
      <c r="C148" s="13"/>
      <c r="D148" s="18"/>
      <c r="E148" s="18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3.5" customHeight="1">
      <c r="A149" s="13"/>
      <c r="B149" s="17"/>
      <c r="C149" s="13"/>
      <c r="D149" s="18"/>
      <c r="E149" s="18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3.5" customHeight="1">
      <c r="A150" s="13"/>
      <c r="B150" s="17"/>
      <c r="C150" s="13"/>
      <c r="D150" s="18"/>
      <c r="E150" s="18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3.5" customHeight="1">
      <c r="A151" s="13"/>
      <c r="B151" s="17"/>
      <c r="C151" s="13"/>
      <c r="D151" s="18"/>
      <c r="E151" s="18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3.5" customHeight="1">
      <c r="A152" s="13"/>
      <c r="B152" s="17"/>
      <c r="C152" s="13"/>
      <c r="D152" s="18"/>
      <c r="E152" s="18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3.5" customHeight="1">
      <c r="A153" s="13"/>
      <c r="B153" s="17"/>
      <c r="C153" s="13"/>
      <c r="D153" s="18"/>
      <c r="E153" s="18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3.5" customHeight="1">
      <c r="A154" s="13"/>
      <c r="B154" s="17"/>
      <c r="C154" s="13"/>
      <c r="D154" s="18"/>
      <c r="E154" s="18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3.5" customHeight="1">
      <c r="A155" s="13"/>
      <c r="B155" s="17"/>
      <c r="C155" s="13"/>
      <c r="D155" s="18"/>
      <c r="E155" s="18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3.5" customHeight="1">
      <c r="A156" s="13"/>
      <c r="B156" s="17"/>
      <c r="C156" s="13"/>
      <c r="D156" s="18"/>
      <c r="E156" s="18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3.5" customHeight="1">
      <c r="A157" s="13"/>
      <c r="B157" s="17"/>
      <c r="C157" s="13"/>
      <c r="D157" s="18"/>
      <c r="E157" s="18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3.5" customHeight="1">
      <c r="A158" s="13"/>
      <c r="B158" s="17"/>
      <c r="C158" s="13"/>
      <c r="D158" s="18"/>
      <c r="E158" s="18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3.5" customHeight="1">
      <c r="A159" s="13"/>
      <c r="B159" s="17"/>
      <c r="C159" s="13"/>
      <c r="D159" s="18"/>
      <c r="E159" s="18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3.5" customHeight="1">
      <c r="A160" s="13"/>
      <c r="B160" s="17"/>
      <c r="C160" s="13"/>
      <c r="D160" s="18"/>
      <c r="E160" s="18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3.5" customHeight="1">
      <c r="A161" s="13"/>
      <c r="B161" s="17"/>
      <c r="C161" s="13"/>
      <c r="D161" s="18"/>
      <c r="E161" s="18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3.5" customHeight="1">
      <c r="A162" s="13"/>
      <c r="B162" s="17"/>
      <c r="C162" s="13"/>
      <c r="D162" s="18"/>
      <c r="E162" s="18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3.5" customHeight="1">
      <c r="A163" s="13"/>
      <c r="B163" s="17"/>
      <c r="C163" s="13"/>
      <c r="D163" s="18"/>
      <c r="E163" s="18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3.5" customHeight="1">
      <c r="A164" s="13"/>
      <c r="B164" s="17"/>
      <c r="C164" s="13"/>
      <c r="D164" s="18"/>
      <c r="E164" s="18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3.5" customHeight="1">
      <c r="A165" s="13"/>
      <c r="B165" s="17"/>
      <c r="C165" s="13"/>
      <c r="D165" s="18"/>
      <c r="E165" s="18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3.5" customHeight="1">
      <c r="A166" s="13"/>
      <c r="B166" s="17"/>
      <c r="C166" s="13"/>
      <c r="D166" s="18"/>
      <c r="E166" s="18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3.5" customHeight="1">
      <c r="A167" s="13"/>
      <c r="B167" s="17"/>
      <c r="C167" s="13"/>
      <c r="D167" s="18"/>
      <c r="E167" s="18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3.5" customHeight="1">
      <c r="A168" s="13"/>
      <c r="B168" s="17"/>
      <c r="C168" s="13"/>
      <c r="D168" s="18"/>
      <c r="E168" s="18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3.5" customHeight="1">
      <c r="A169" s="13"/>
      <c r="B169" s="17"/>
      <c r="C169" s="13"/>
      <c r="D169" s="18"/>
      <c r="E169" s="18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3.5" customHeight="1">
      <c r="A170" s="13"/>
      <c r="B170" s="17"/>
      <c r="C170" s="13"/>
      <c r="D170" s="18"/>
      <c r="E170" s="18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3.5" customHeight="1">
      <c r="A171" s="13"/>
      <c r="B171" s="17"/>
      <c r="C171" s="13"/>
      <c r="D171" s="18"/>
      <c r="E171" s="18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3.5" customHeight="1">
      <c r="A172" s="13"/>
      <c r="B172" s="17"/>
      <c r="C172" s="13"/>
      <c r="D172" s="18"/>
      <c r="E172" s="18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3.5" customHeight="1">
      <c r="A173" s="13"/>
      <c r="B173" s="17"/>
      <c r="C173" s="13"/>
      <c r="D173" s="18"/>
      <c r="E173" s="18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3.5" customHeight="1">
      <c r="A174" s="13"/>
      <c r="B174" s="17"/>
      <c r="C174" s="13"/>
      <c r="D174" s="18"/>
      <c r="E174" s="18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3.5" customHeight="1">
      <c r="A175" s="13"/>
      <c r="B175" s="17"/>
      <c r="C175" s="13"/>
      <c r="D175" s="18"/>
      <c r="E175" s="18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3.5" customHeight="1">
      <c r="A176" s="13"/>
      <c r="B176" s="17"/>
      <c r="C176" s="13"/>
      <c r="D176" s="18"/>
      <c r="E176" s="18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3.5" customHeight="1">
      <c r="A177" s="13"/>
      <c r="B177" s="17"/>
      <c r="C177" s="13"/>
      <c r="D177" s="18"/>
      <c r="E177" s="18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3.5" customHeight="1">
      <c r="A178" s="13"/>
      <c r="B178" s="17"/>
      <c r="C178" s="13"/>
      <c r="D178" s="18"/>
      <c r="E178" s="18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3.5" customHeight="1">
      <c r="A179" s="13"/>
      <c r="B179" s="17"/>
      <c r="C179" s="13"/>
      <c r="D179" s="18"/>
      <c r="E179" s="18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3.5" customHeight="1">
      <c r="A180" s="13"/>
      <c r="B180" s="17"/>
      <c r="C180" s="13"/>
      <c r="D180" s="18"/>
      <c r="E180" s="18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3.5" customHeight="1">
      <c r="A181" s="13"/>
      <c r="B181" s="17"/>
      <c r="C181" s="13"/>
      <c r="D181" s="18"/>
      <c r="E181" s="18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3.5" customHeight="1">
      <c r="A182" s="13"/>
      <c r="B182" s="17"/>
      <c r="C182" s="13"/>
      <c r="D182" s="18"/>
      <c r="E182" s="18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3.5" customHeight="1">
      <c r="A183" s="13"/>
      <c r="B183" s="17"/>
      <c r="C183" s="13"/>
      <c r="D183" s="18"/>
      <c r="E183" s="18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3.5" customHeight="1">
      <c r="A184" s="13"/>
      <c r="B184" s="17"/>
      <c r="C184" s="13"/>
      <c r="D184" s="18"/>
      <c r="E184" s="18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3.5" customHeight="1">
      <c r="A185" s="13"/>
      <c r="B185" s="17"/>
      <c r="C185" s="13"/>
      <c r="D185" s="18"/>
      <c r="E185" s="18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3.5" customHeight="1">
      <c r="A186" s="13"/>
      <c r="B186" s="17"/>
      <c r="C186" s="13"/>
      <c r="D186" s="18"/>
      <c r="E186" s="18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3.5" customHeight="1">
      <c r="A187" s="13"/>
      <c r="B187" s="17"/>
      <c r="C187" s="13"/>
      <c r="D187" s="18"/>
      <c r="E187" s="18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3.5" customHeight="1">
      <c r="A188" s="13"/>
      <c r="B188" s="17"/>
      <c r="C188" s="13"/>
      <c r="D188" s="18"/>
      <c r="E188" s="18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3.5" customHeight="1">
      <c r="A189" s="13"/>
      <c r="B189" s="17"/>
      <c r="C189" s="13"/>
      <c r="D189" s="18"/>
      <c r="E189" s="18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3.5" customHeight="1">
      <c r="A190" s="13"/>
      <c r="B190" s="17"/>
      <c r="C190" s="13"/>
      <c r="D190" s="18"/>
      <c r="E190" s="18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3.5" customHeight="1">
      <c r="A191" s="13"/>
      <c r="B191" s="17"/>
      <c r="C191" s="13"/>
      <c r="D191" s="18"/>
      <c r="E191" s="18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13.5" customHeight="1">
      <c r="A192" s="13"/>
      <c r="B192" s="17"/>
      <c r="C192" s="13"/>
      <c r="D192" s="18"/>
      <c r="E192" s="18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13.5" customHeight="1">
      <c r="A193" s="13"/>
      <c r="B193" s="17"/>
      <c r="C193" s="13"/>
      <c r="D193" s="18"/>
      <c r="E193" s="18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13.5" customHeight="1">
      <c r="A194" s="13"/>
      <c r="B194" s="17"/>
      <c r="C194" s="13"/>
      <c r="D194" s="18"/>
      <c r="E194" s="18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3.5" customHeight="1">
      <c r="A195" s="13"/>
      <c r="B195" s="17"/>
      <c r="C195" s="13"/>
      <c r="D195" s="18"/>
      <c r="E195" s="18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3.5" customHeight="1">
      <c r="A196" s="13"/>
      <c r="B196" s="17"/>
      <c r="C196" s="13"/>
      <c r="D196" s="18"/>
      <c r="E196" s="18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3.5" customHeight="1">
      <c r="A197" s="13"/>
      <c r="B197" s="17"/>
      <c r="C197" s="13"/>
      <c r="D197" s="18"/>
      <c r="E197" s="18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13.5" customHeight="1">
      <c r="A198" s="13"/>
      <c r="B198" s="17"/>
      <c r="C198" s="13"/>
      <c r="D198" s="18"/>
      <c r="E198" s="18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13.5" customHeight="1">
      <c r="A199" s="13"/>
      <c r="B199" s="17"/>
      <c r="C199" s="13"/>
      <c r="D199" s="18"/>
      <c r="E199" s="18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13.5" customHeight="1">
      <c r="A200" s="13"/>
      <c r="B200" s="17"/>
      <c r="C200" s="13"/>
      <c r="D200" s="18"/>
      <c r="E200" s="18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13.5" customHeight="1">
      <c r="A201" s="13"/>
      <c r="B201" s="17"/>
      <c r="C201" s="13"/>
      <c r="D201" s="18"/>
      <c r="E201" s="18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13.5" customHeight="1">
      <c r="A202" s="13"/>
      <c r="B202" s="17"/>
      <c r="C202" s="13"/>
      <c r="D202" s="18"/>
      <c r="E202" s="18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13.5" customHeight="1">
      <c r="A203" s="13"/>
      <c r="B203" s="17"/>
      <c r="C203" s="13"/>
      <c r="D203" s="18"/>
      <c r="E203" s="18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13.5" customHeight="1">
      <c r="A204" s="13"/>
      <c r="B204" s="17"/>
      <c r="C204" s="13"/>
      <c r="D204" s="18"/>
      <c r="E204" s="18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13.5" customHeight="1">
      <c r="A205" s="13"/>
      <c r="B205" s="17"/>
      <c r="C205" s="13"/>
      <c r="D205" s="18"/>
      <c r="E205" s="18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13.5" customHeight="1">
      <c r="A206" s="13"/>
      <c r="B206" s="17"/>
      <c r="C206" s="13"/>
      <c r="D206" s="18"/>
      <c r="E206" s="18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13.5" customHeight="1">
      <c r="A207" s="13"/>
      <c r="B207" s="17"/>
      <c r="C207" s="13"/>
      <c r="D207" s="18"/>
      <c r="E207" s="18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13.5" customHeight="1">
      <c r="A208" s="13"/>
      <c r="B208" s="17"/>
      <c r="C208" s="13"/>
      <c r="D208" s="18"/>
      <c r="E208" s="18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13.5" customHeight="1">
      <c r="A209" s="13"/>
      <c r="B209" s="17"/>
      <c r="C209" s="13"/>
      <c r="D209" s="18"/>
      <c r="E209" s="18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13.5" customHeight="1">
      <c r="A210" s="13"/>
      <c r="B210" s="17"/>
      <c r="C210" s="13"/>
      <c r="D210" s="18"/>
      <c r="E210" s="18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13.5" customHeight="1">
      <c r="A211" s="13"/>
      <c r="B211" s="17"/>
      <c r="C211" s="13"/>
      <c r="D211" s="18"/>
      <c r="E211" s="18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13.5" customHeight="1">
      <c r="A212" s="13"/>
      <c r="B212" s="17"/>
      <c r="C212" s="13"/>
      <c r="D212" s="18"/>
      <c r="E212" s="18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13.5" customHeight="1">
      <c r="A213" s="13"/>
      <c r="B213" s="17"/>
      <c r="C213" s="13"/>
      <c r="D213" s="18"/>
      <c r="E213" s="18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13.5" customHeight="1">
      <c r="A214" s="13"/>
      <c r="B214" s="17"/>
      <c r="C214" s="13"/>
      <c r="D214" s="18"/>
      <c r="E214" s="18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13.5" customHeight="1">
      <c r="A215" s="13"/>
      <c r="B215" s="17"/>
      <c r="C215" s="13"/>
      <c r="D215" s="18"/>
      <c r="E215" s="18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13.5" customHeight="1">
      <c r="A216" s="13"/>
      <c r="B216" s="17"/>
      <c r="C216" s="13"/>
      <c r="D216" s="18"/>
      <c r="E216" s="18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13.5" customHeight="1">
      <c r="A217" s="13"/>
      <c r="B217" s="17"/>
      <c r="C217" s="13"/>
      <c r="D217" s="18"/>
      <c r="E217" s="18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13.5" customHeight="1">
      <c r="A218" s="13"/>
      <c r="B218" s="17"/>
      <c r="C218" s="13"/>
      <c r="D218" s="18"/>
      <c r="E218" s="18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13.5" customHeight="1">
      <c r="A219" s="13"/>
      <c r="B219" s="17"/>
      <c r="C219" s="13"/>
      <c r="D219" s="18"/>
      <c r="E219" s="18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13.5" customHeight="1">
      <c r="A220" s="13"/>
      <c r="B220" s="17"/>
      <c r="C220" s="13"/>
      <c r="D220" s="18"/>
      <c r="E220" s="18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13.5" customHeight="1">
      <c r="A221" s="13"/>
      <c r="B221" s="17"/>
      <c r="C221" s="13"/>
      <c r="D221" s="18"/>
      <c r="E221" s="18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ht="13.5" customHeight="1">
      <c r="A222" s="13"/>
      <c r="B222" s="17"/>
      <c r="C222" s="13"/>
      <c r="D222" s="18"/>
      <c r="E222" s="18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ht="13.5" customHeight="1">
      <c r="A223" s="13"/>
      <c r="B223" s="17"/>
      <c r="C223" s="13"/>
      <c r="D223" s="18"/>
      <c r="E223" s="18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ht="13.5" customHeight="1">
      <c r="A224" s="13"/>
      <c r="B224" s="17"/>
      <c r="C224" s="13"/>
      <c r="D224" s="18"/>
      <c r="E224" s="18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ht="13.5" customHeight="1">
      <c r="A225" s="13"/>
      <c r="B225" s="17"/>
      <c r="C225" s="13"/>
      <c r="D225" s="18"/>
      <c r="E225" s="18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ht="13.5" customHeight="1">
      <c r="A226" s="13"/>
      <c r="B226" s="17"/>
      <c r="C226" s="13"/>
      <c r="D226" s="18"/>
      <c r="E226" s="18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ht="13.5" customHeight="1">
      <c r="A227" s="13"/>
      <c r="B227" s="17"/>
      <c r="C227" s="13"/>
      <c r="D227" s="18"/>
      <c r="E227" s="18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ht="13.5" customHeight="1">
      <c r="A228" s="13"/>
      <c r="B228" s="17"/>
      <c r="C228" s="13"/>
      <c r="D228" s="18"/>
      <c r="E228" s="18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ht="13.5" customHeight="1">
      <c r="A229" s="13"/>
      <c r="B229" s="17"/>
      <c r="C229" s="13"/>
      <c r="D229" s="18"/>
      <c r="E229" s="18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ht="13.5" customHeight="1">
      <c r="A230" s="13"/>
      <c r="B230" s="17"/>
      <c r="C230" s="13"/>
      <c r="D230" s="18"/>
      <c r="E230" s="18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ht="13.5" customHeight="1">
      <c r="A231" s="13"/>
      <c r="B231" s="17"/>
      <c r="C231" s="13"/>
      <c r="D231" s="18"/>
      <c r="E231" s="18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ht="13.5" customHeight="1">
      <c r="A232" s="13"/>
      <c r="B232" s="17"/>
      <c r="C232" s="13"/>
      <c r="D232" s="18"/>
      <c r="E232" s="18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ht="13.5" customHeight="1">
      <c r="A233" s="13"/>
      <c r="B233" s="17"/>
      <c r="C233" s="13"/>
      <c r="D233" s="18"/>
      <c r="E233" s="18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ht="13.5" customHeight="1">
      <c r="A234" s="13"/>
      <c r="B234" s="17"/>
      <c r="C234" s="13"/>
      <c r="D234" s="18"/>
      <c r="E234" s="18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ht="13.5" customHeight="1">
      <c r="A235" s="13"/>
      <c r="B235" s="17"/>
      <c r="C235" s="13"/>
      <c r="D235" s="18"/>
      <c r="E235" s="18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ht="13.5" customHeight="1">
      <c r="A236" s="13"/>
      <c r="B236" s="17"/>
      <c r="C236" s="13"/>
      <c r="D236" s="18"/>
      <c r="E236" s="18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ht="13.5" customHeight="1">
      <c r="A237" s="13"/>
      <c r="B237" s="17"/>
      <c r="C237" s="13"/>
      <c r="D237" s="18"/>
      <c r="E237" s="18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ht="13.5" customHeight="1">
      <c r="A238" s="13"/>
      <c r="B238" s="17"/>
      <c r="C238" s="13"/>
      <c r="D238" s="18"/>
      <c r="E238" s="18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ht="13.5" customHeight="1">
      <c r="A239" s="13"/>
      <c r="B239" s="17"/>
      <c r="C239" s="13"/>
      <c r="D239" s="18"/>
      <c r="E239" s="18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ht="13.5" customHeight="1">
      <c r="A240" s="13"/>
      <c r="B240" s="17"/>
      <c r="C240" s="13"/>
      <c r="D240" s="18"/>
      <c r="E240" s="18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ht="13.5" customHeight="1">
      <c r="A241" s="13"/>
      <c r="B241" s="17"/>
      <c r="C241" s="13"/>
      <c r="D241" s="18"/>
      <c r="E241" s="18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ht="13.5" customHeight="1">
      <c r="A242" s="13"/>
      <c r="B242" s="17"/>
      <c r="C242" s="13"/>
      <c r="D242" s="18"/>
      <c r="E242" s="18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ht="13.5" customHeight="1">
      <c r="A243" s="13"/>
      <c r="B243" s="17"/>
      <c r="C243" s="13"/>
      <c r="D243" s="18"/>
      <c r="E243" s="18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ht="13.5" customHeight="1">
      <c r="A244" s="13"/>
      <c r="B244" s="17"/>
      <c r="C244" s="13"/>
      <c r="D244" s="18"/>
      <c r="E244" s="18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ht="13.5" customHeight="1">
      <c r="A245" s="13"/>
      <c r="B245" s="17"/>
      <c r="C245" s="13"/>
      <c r="D245" s="18"/>
      <c r="E245" s="18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ht="13.5" customHeight="1">
      <c r="A246" s="13"/>
      <c r="B246" s="17"/>
      <c r="C246" s="13"/>
      <c r="D246" s="18"/>
      <c r="E246" s="18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ht="13.5" customHeight="1">
      <c r="A247" s="13"/>
      <c r="B247" s="17"/>
      <c r="C247" s="13"/>
      <c r="D247" s="18"/>
      <c r="E247" s="18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ht="13.5" customHeight="1">
      <c r="A248" s="13"/>
      <c r="B248" s="17"/>
      <c r="C248" s="13"/>
      <c r="D248" s="18"/>
      <c r="E248" s="18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ht="13.5" customHeight="1">
      <c r="A249" s="13"/>
      <c r="B249" s="17"/>
      <c r="C249" s="13"/>
      <c r="D249" s="18"/>
      <c r="E249" s="18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ht="13.5" customHeight="1">
      <c r="A250" s="13"/>
      <c r="B250" s="17"/>
      <c r="C250" s="13"/>
      <c r="D250" s="18"/>
      <c r="E250" s="18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ht="13.5" customHeight="1">
      <c r="A251" s="13"/>
      <c r="B251" s="17"/>
      <c r="C251" s="13"/>
      <c r="D251" s="18"/>
      <c r="E251" s="18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ht="13.5" customHeight="1">
      <c r="A252" s="13"/>
      <c r="B252" s="17"/>
      <c r="C252" s="13"/>
      <c r="D252" s="18"/>
      <c r="E252" s="18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ht="13.5" customHeight="1">
      <c r="A253" s="13"/>
      <c r="B253" s="17"/>
      <c r="C253" s="13"/>
      <c r="D253" s="18"/>
      <c r="E253" s="18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ht="13.5" customHeight="1">
      <c r="A254" s="13"/>
      <c r="B254" s="17"/>
      <c r="C254" s="13"/>
      <c r="D254" s="18"/>
      <c r="E254" s="18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ht="13.5" customHeight="1">
      <c r="A255" s="13"/>
      <c r="B255" s="17"/>
      <c r="C255" s="13"/>
      <c r="D255" s="18"/>
      <c r="E255" s="18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ht="13.5" customHeight="1">
      <c r="A256" s="13"/>
      <c r="B256" s="17"/>
      <c r="C256" s="13"/>
      <c r="D256" s="18"/>
      <c r="E256" s="18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ht="13.5" customHeight="1">
      <c r="A257" s="13"/>
      <c r="B257" s="17"/>
      <c r="C257" s="13"/>
      <c r="D257" s="18"/>
      <c r="E257" s="18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ht="13.5" customHeight="1">
      <c r="A258" s="13"/>
      <c r="B258" s="17"/>
      <c r="C258" s="13"/>
      <c r="D258" s="18"/>
      <c r="E258" s="18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ht="13.5" customHeight="1">
      <c r="A259" s="13"/>
      <c r="B259" s="17"/>
      <c r="C259" s="13"/>
      <c r="D259" s="18"/>
      <c r="E259" s="18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ht="13.5" customHeight="1">
      <c r="A260" s="13"/>
      <c r="B260" s="17"/>
      <c r="C260" s="13"/>
      <c r="D260" s="18"/>
      <c r="E260" s="18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ht="13.5" customHeight="1">
      <c r="A261" s="13"/>
      <c r="B261" s="17"/>
      <c r="C261" s="13"/>
      <c r="D261" s="18"/>
      <c r="E261" s="18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ht="13.5" customHeight="1">
      <c r="A262" s="13"/>
      <c r="B262" s="17"/>
      <c r="C262" s="13"/>
      <c r="D262" s="18"/>
      <c r="E262" s="18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ht="13.5" customHeight="1">
      <c r="A263" s="13"/>
      <c r="B263" s="17"/>
      <c r="C263" s="13"/>
      <c r="D263" s="18"/>
      <c r="E263" s="18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ht="13.5" customHeight="1">
      <c r="A264" s="13"/>
      <c r="B264" s="17"/>
      <c r="C264" s="13"/>
      <c r="D264" s="18"/>
      <c r="E264" s="18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ht="13.5" customHeight="1">
      <c r="A265" s="13"/>
      <c r="B265" s="17"/>
      <c r="C265" s="13"/>
      <c r="D265" s="18"/>
      <c r="E265" s="18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ht="13.5" customHeight="1">
      <c r="A266" s="13"/>
      <c r="B266" s="17"/>
      <c r="C266" s="13"/>
      <c r="D266" s="18"/>
      <c r="E266" s="18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ht="13.5" customHeight="1">
      <c r="A267" s="13"/>
      <c r="B267" s="17"/>
      <c r="C267" s="13"/>
      <c r="D267" s="18"/>
      <c r="E267" s="18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ht="13.5" customHeight="1">
      <c r="A268" s="13"/>
      <c r="B268" s="17"/>
      <c r="C268" s="13"/>
      <c r="D268" s="18"/>
      <c r="E268" s="18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ht="13.5" customHeight="1">
      <c r="A269" s="13"/>
      <c r="B269" s="17"/>
      <c r="C269" s="13"/>
      <c r="D269" s="18"/>
      <c r="E269" s="18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ht="13.5" customHeight="1">
      <c r="A270" s="13"/>
      <c r="B270" s="17"/>
      <c r="C270" s="13"/>
      <c r="D270" s="18"/>
      <c r="E270" s="18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ht="13.5" customHeight="1">
      <c r="A271" s="13"/>
      <c r="B271" s="17"/>
      <c r="C271" s="13"/>
      <c r="D271" s="18"/>
      <c r="E271" s="18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ht="13.5" customHeight="1">
      <c r="A272" s="13"/>
      <c r="B272" s="17"/>
      <c r="C272" s="13"/>
      <c r="D272" s="18"/>
      <c r="E272" s="18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ht="13.5" customHeight="1">
      <c r="A273" s="13"/>
      <c r="B273" s="17"/>
      <c r="C273" s="13"/>
      <c r="D273" s="18"/>
      <c r="E273" s="18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ht="13.5" customHeight="1">
      <c r="A274" s="13"/>
      <c r="B274" s="17"/>
      <c r="C274" s="13"/>
      <c r="D274" s="18"/>
      <c r="E274" s="18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ht="13.5" customHeight="1">
      <c r="A275" s="13"/>
      <c r="B275" s="17"/>
      <c r="C275" s="13"/>
      <c r="D275" s="18"/>
      <c r="E275" s="18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ht="13.5" customHeight="1">
      <c r="A276" s="13"/>
      <c r="B276" s="17"/>
      <c r="C276" s="13"/>
      <c r="D276" s="18"/>
      <c r="E276" s="18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ht="13.5" customHeight="1">
      <c r="A277" s="13"/>
      <c r="B277" s="17"/>
      <c r="C277" s="13"/>
      <c r="D277" s="18"/>
      <c r="E277" s="18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ht="13.5" customHeight="1">
      <c r="A278" s="13"/>
      <c r="B278" s="17"/>
      <c r="C278" s="13"/>
      <c r="D278" s="18"/>
      <c r="E278" s="18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ht="13.5" customHeight="1">
      <c r="A279" s="13"/>
      <c r="B279" s="17"/>
      <c r="C279" s="13"/>
      <c r="D279" s="18"/>
      <c r="E279" s="18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ht="13.5" customHeight="1">
      <c r="A280" s="13"/>
      <c r="B280" s="17"/>
      <c r="C280" s="13"/>
      <c r="D280" s="18"/>
      <c r="E280" s="18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ht="13.5" customHeight="1">
      <c r="A281" s="13"/>
      <c r="B281" s="17"/>
      <c r="C281" s="13"/>
      <c r="D281" s="18"/>
      <c r="E281" s="18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ht="13.5" customHeight="1">
      <c r="A282" s="13"/>
      <c r="B282" s="17"/>
      <c r="C282" s="13"/>
      <c r="D282" s="18"/>
      <c r="E282" s="18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ht="13.5" customHeight="1">
      <c r="A283" s="13"/>
      <c r="B283" s="17"/>
      <c r="C283" s="13"/>
      <c r="D283" s="18"/>
      <c r="E283" s="18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ht="13.5" customHeight="1">
      <c r="A284" s="13"/>
      <c r="B284" s="17"/>
      <c r="C284" s="13"/>
      <c r="D284" s="18"/>
      <c r="E284" s="18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ht="13.5" customHeight="1">
      <c r="A285" s="13"/>
      <c r="B285" s="17"/>
      <c r="C285" s="13"/>
      <c r="D285" s="18"/>
      <c r="E285" s="18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ht="13.5" customHeight="1">
      <c r="A286" s="13"/>
      <c r="B286" s="17"/>
      <c r="C286" s="13"/>
      <c r="D286" s="18"/>
      <c r="E286" s="18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ht="13.5" customHeight="1">
      <c r="A287" s="13"/>
      <c r="B287" s="17"/>
      <c r="C287" s="13"/>
      <c r="D287" s="18"/>
      <c r="E287" s="18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ht="13.5" customHeight="1">
      <c r="A288" s="13"/>
      <c r="B288" s="17"/>
      <c r="C288" s="13"/>
      <c r="D288" s="18"/>
      <c r="E288" s="18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ht="13.5" customHeight="1">
      <c r="A289" s="13"/>
      <c r="B289" s="17"/>
      <c r="C289" s="13"/>
      <c r="D289" s="18"/>
      <c r="E289" s="18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ht="13.5" customHeight="1">
      <c r="A290" s="13"/>
      <c r="B290" s="17"/>
      <c r="C290" s="13"/>
      <c r="D290" s="18"/>
      <c r="E290" s="18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ht="13.5" customHeight="1">
      <c r="A291" s="13"/>
      <c r="B291" s="17"/>
      <c r="C291" s="13"/>
      <c r="D291" s="18"/>
      <c r="E291" s="18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ht="13.5" customHeight="1">
      <c r="A292" s="13"/>
      <c r="B292" s="17"/>
      <c r="C292" s="13"/>
      <c r="D292" s="18"/>
      <c r="E292" s="18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ht="13.5" customHeight="1">
      <c r="A293" s="13"/>
      <c r="B293" s="17"/>
      <c r="C293" s="13"/>
      <c r="D293" s="18"/>
      <c r="E293" s="18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ht="13.5" customHeight="1">
      <c r="A294" s="13"/>
      <c r="B294" s="17"/>
      <c r="C294" s="13"/>
      <c r="D294" s="18"/>
      <c r="E294" s="18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ht="13.5" customHeight="1">
      <c r="A295" s="13"/>
      <c r="B295" s="17"/>
      <c r="C295" s="13"/>
      <c r="D295" s="18"/>
      <c r="E295" s="18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ht="13.5" customHeight="1">
      <c r="A296" s="13"/>
      <c r="B296" s="17"/>
      <c r="C296" s="13"/>
      <c r="D296" s="18"/>
      <c r="E296" s="18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ht="13.5" customHeight="1">
      <c r="A297" s="13"/>
      <c r="B297" s="17"/>
      <c r="C297" s="13"/>
      <c r="D297" s="18"/>
      <c r="E297" s="18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ht="13.5" customHeight="1">
      <c r="A298" s="13"/>
      <c r="B298" s="17"/>
      <c r="C298" s="13"/>
      <c r="D298" s="18"/>
      <c r="E298" s="18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ht="13.5" customHeight="1">
      <c r="A299" s="13"/>
      <c r="B299" s="17"/>
      <c r="C299" s="13"/>
      <c r="D299" s="18"/>
      <c r="E299" s="18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ht="13.5" customHeight="1">
      <c r="A300" s="13"/>
      <c r="B300" s="17"/>
      <c r="C300" s="13"/>
      <c r="D300" s="18"/>
      <c r="E300" s="18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ht="13.5" customHeight="1">
      <c r="A301" s="13"/>
      <c r="B301" s="17"/>
      <c r="C301" s="13"/>
      <c r="D301" s="18"/>
      <c r="E301" s="18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ht="13.5" customHeight="1">
      <c r="A302" s="13"/>
      <c r="B302" s="17"/>
      <c r="C302" s="13"/>
      <c r="D302" s="18"/>
      <c r="E302" s="18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ht="13.5" customHeight="1">
      <c r="A303" s="13"/>
      <c r="B303" s="17"/>
      <c r="C303" s="13"/>
      <c r="D303" s="18"/>
      <c r="E303" s="18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ht="13.5" customHeight="1">
      <c r="A304" s="13"/>
      <c r="B304" s="17"/>
      <c r="C304" s="13"/>
      <c r="D304" s="18"/>
      <c r="E304" s="18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ht="13.5" customHeight="1">
      <c r="A305" s="13"/>
      <c r="B305" s="17"/>
      <c r="C305" s="13"/>
      <c r="D305" s="18"/>
      <c r="E305" s="18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ht="13.5" customHeight="1">
      <c r="A306" s="13"/>
      <c r="B306" s="17"/>
      <c r="C306" s="13"/>
      <c r="D306" s="18"/>
      <c r="E306" s="18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ht="13.5" customHeight="1">
      <c r="A307" s="13"/>
      <c r="B307" s="17"/>
      <c r="C307" s="13"/>
      <c r="D307" s="18"/>
      <c r="E307" s="18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ht="13.5" customHeight="1">
      <c r="A308" s="13"/>
      <c r="B308" s="17"/>
      <c r="C308" s="13"/>
      <c r="D308" s="18"/>
      <c r="E308" s="18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ht="13.5" customHeight="1">
      <c r="A309" s="13"/>
      <c r="B309" s="17"/>
      <c r="C309" s="13"/>
      <c r="D309" s="18"/>
      <c r="E309" s="18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ht="13.5" customHeight="1">
      <c r="A310" s="13"/>
      <c r="B310" s="17"/>
      <c r="C310" s="13"/>
      <c r="D310" s="18"/>
      <c r="E310" s="18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ht="13.5" customHeight="1">
      <c r="A311" s="13"/>
      <c r="B311" s="17"/>
      <c r="C311" s="13"/>
      <c r="D311" s="18"/>
      <c r="E311" s="18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ht="13.5" customHeight="1">
      <c r="A312" s="13"/>
      <c r="B312" s="17"/>
      <c r="C312" s="13"/>
      <c r="D312" s="18"/>
      <c r="E312" s="18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ht="13.5" customHeight="1">
      <c r="A313" s="13"/>
      <c r="B313" s="17"/>
      <c r="C313" s="13"/>
      <c r="D313" s="18"/>
      <c r="E313" s="18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ht="13.5" customHeight="1">
      <c r="A314" s="13"/>
      <c r="B314" s="17"/>
      <c r="C314" s="13"/>
      <c r="D314" s="18"/>
      <c r="E314" s="18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ht="13.5" customHeight="1">
      <c r="A315" s="13"/>
      <c r="B315" s="17"/>
      <c r="C315" s="13"/>
      <c r="D315" s="18"/>
      <c r="E315" s="18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ht="13.5" customHeight="1">
      <c r="A316" s="13"/>
      <c r="B316" s="17"/>
      <c r="C316" s="13"/>
      <c r="D316" s="18"/>
      <c r="E316" s="18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ht="13.5" customHeight="1">
      <c r="A317" s="13"/>
      <c r="B317" s="17"/>
      <c r="C317" s="13"/>
      <c r="D317" s="18"/>
      <c r="E317" s="18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ht="13.5" customHeight="1">
      <c r="A318" s="13"/>
      <c r="B318" s="17"/>
      <c r="C318" s="13"/>
      <c r="D318" s="18"/>
      <c r="E318" s="18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ht="13.5" customHeight="1">
      <c r="A319" s="13"/>
      <c r="B319" s="17"/>
      <c r="C319" s="13"/>
      <c r="D319" s="18"/>
      <c r="E319" s="18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ht="13.5" customHeight="1">
      <c r="A320" s="13"/>
      <c r="B320" s="17"/>
      <c r="C320" s="13"/>
      <c r="D320" s="18"/>
      <c r="E320" s="18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ht="13.5" customHeight="1">
      <c r="A321" s="13"/>
      <c r="B321" s="17"/>
      <c r="C321" s="13"/>
      <c r="D321" s="18"/>
      <c r="E321" s="18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ht="13.5" customHeight="1">
      <c r="A322" s="13"/>
      <c r="B322" s="17"/>
      <c r="C322" s="13"/>
      <c r="D322" s="18"/>
      <c r="E322" s="18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ht="13.5" customHeight="1">
      <c r="A323" s="13"/>
      <c r="B323" s="17"/>
      <c r="C323" s="13"/>
      <c r="D323" s="18"/>
      <c r="E323" s="18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ht="13.5" customHeight="1">
      <c r="A324" s="13"/>
      <c r="B324" s="17"/>
      <c r="C324" s="13"/>
      <c r="D324" s="18"/>
      <c r="E324" s="18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ht="13.5" customHeight="1">
      <c r="A325" s="13"/>
      <c r="B325" s="17"/>
      <c r="C325" s="13"/>
      <c r="D325" s="18"/>
      <c r="E325" s="18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ht="13.5" customHeight="1">
      <c r="A326" s="13"/>
      <c r="B326" s="17"/>
      <c r="C326" s="13"/>
      <c r="D326" s="18"/>
      <c r="E326" s="18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ht="13.5" customHeight="1">
      <c r="A327" s="13"/>
      <c r="B327" s="17"/>
      <c r="C327" s="13"/>
      <c r="D327" s="18"/>
      <c r="E327" s="18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ht="13.5" customHeight="1">
      <c r="A328" s="13"/>
      <c r="B328" s="17"/>
      <c r="C328" s="13"/>
      <c r="D328" s="18"/>
      <c r="E328" s="18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ht="13.5" customHeight="1">
      <c r="A329" s="13"/>
      <c r="B329" s="17"/>
      <c r="C329" s="13"/>
      <c r="D329" s="18"/>
      <c r="E329" s="18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ht="13.5" customHeight="1">
      <c r="A330" s="13"/>
      <c r="B330" s="17"/>
      <c r="C330" s="13"/>
      <c r="D330" s="18"/>
      <c r="E330" s="18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ht="13.5" customHeight="1">
      <c r="A331" s="13"/>
      <c r="B331" s="17"/>
      <c r="C331" s="13"/>
      <c r="D331" s="18"/>
      <c r="E331" s="18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ht="13.5" customHeight="1">
      <c r="A332" s="13"/>
      <c r="B332" s="17"/>
      <c r="C332" s="13"/>
      <c r="D332" s="18"/>
      <c r="E332" s="18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ht="13.5" customHeight="1">
      <c r="A333" s="13"/>
      <c r="B333" s="17"/>
      <c r="C333" s="13"/>
      <c r="D333" s="18"/>
      <c r="E333" s="18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ht="13.5" customHeight="1">
      <c r="A334" s="13"/>
      <c r="B334" s="17"/>
      <c r="C334" s="13"/>
      <c r="D334" s="18"/>
      <c r="E334" s="18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ht="13.5" customHeight="1">
      <c r="A335" s="13"/>
      <c r="B335" s="17"/>
      <c r="C335" s="13"/>
      <c r="D335" s="18"/>
      <c r="E335" s="18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ht="13.5" customHeight="1">
      <c r="A336" s="13"/>
      <c r="B336" s="17"/>
      <c r="C336" s="13"/>
      <c r="D336" s="18"/>
      <c r="E336" s="18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</sheetData>
  <mergeCells count="10">
    <mergeCell ref="D132:E133"/>
    <mergeCell ref="F132:F133"/>
    <mergeCell ref="D134:E135"/>
    <mergeCell ref="D136:E137"/>
    <mergeCell ref="F136:F137"/>
    <mergeCell ref="B1:H1"/>
    <mergeCell ref="B2:H2"/>
    <mergeCell ref="C5:C127"/>
    <mergeCell ref="D131:E131"/>
    <mergeCell ref="F134:F13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0"/>
    <col customWidth="1" min="4" max="4" width="8.71"/>
    <col customWidth="1" min="5" max="5" width="38.71"/>
    <col customWidth="1" min="6" max="10" width="8.71"/>
    <col customWidth="1" min="11" max="11" width="21.57"/>
    <col customWidth="1" min="12" max="12" width="9.0"/>
  </cols>
  <sheetData>
    <row r="1" ht="14.25" customHeight="1">
      <c r="B1" s="48" t="s">
        <v>268</v>
      </c>
      <c r="C1" s="15"/>
      <c r="D1" s="15"/>
      <c r="E1" s="15"/>
      <c r="F1" s="15"/>
      <c r="G1" s="15"/>
      <c r="H1" s="16"/>
    </row>
    <row r="2" ht="14.25" customHeight="1">
      <c r="B2" s="48" t="s">
        <v>269</v>
      </c>
      <c r="C2" s="15"/>
      <c r="D2" s="15"/>
      <c r="E2" s="15"/>
      <c r="F2" s="15"/>
      <c r="G2" s="15"/>
      <c r="H2" s="16"/>
    </row>
    <row r="3" ht="14.25" customHeight="1">
      <c r="B3" s="13"/>
      <c r="C3" s="13"/>
      <c r="D3" s="13"/>
      <c r="E3" s="13"/>
      <c r="F3" s="17"/>
      <c r="G3" s="17"/>
      <c r="H3" s="17"/>
    </row>
    <row r="4" ht="14.25" customHeight="1">
      <c r="B4" s="49" t="s">
        <v>9</v>
      </c>
      <c r="C4" s="49" t="s">
        <v>10</v>
      </c>
      <c r="D4" s="49" t="s">
        <v>11</v>
      </c>
      <c r="E4" s="50" t="s">
        <v>12</v>
      </c>
      <c r="F4" s="49">
        <v>2022.0</v>
      </c>
      <c r="G4" s="49">
        <v>2023.0</v>
      </c>
      <c r="H4" s="49">
        <v>2024.0</v>
      </c>
      <c r="K4" s="23" t="s">
        <v>10</v>
      </c>
      <c r="L4" s="23" t="s">
        <v>13</v>
      </c>
    </row>
    <row r="5" ht="14.25" customHeight="1">
      <c r="B5" s="23">
        <v>1.0</v>
      </c>
      <c r="C5" s="51" t="s">
        <v>14</v>
      </c>
      <c r="D5" s="23" t="s">
        <v>15</v>
      </c>
      <c r="E5" s="28" t="s">
        <v>16</v>
      </c>
      <c r="F5" s="23">
        <v>1.0</v>
      </c>
      <c r="G5" s="23">
        <v>1.0</v>
      </c>
      <c r="H5" s="23">
        <v>1.0</v>
      </c>
      <c r="K5" s="28" t="s">
        <v>17</v>
      </c>
      <c r="L5" s="29" t="str">
        <f>F118</f>
        <v>72</v>
      </c>
    </row>
    <row r="6" ht="14.25" customHeight="1">
      <c r="B6" s="23">
        <v>2.0</v>
      </c>
      <c r="C6" s="52"/>
      <c r="D6" s="23" t="s">
        <v>98</v>
      </c>
      <c r="E6" s="28" t="s">
        <v>99</v>
      </c>
      <c r="F6" s="23">
        <v>1.0</v>
      </c>
      <c r="G6" s="23">
        <v>1.0</v>
      </c>
      <c r="H6" s="23">
        <v>1.0</v>
      </c>
    </row>
    <row r="7" ht="14.25" customHeight="1">
      <c r="B7" s="23">
        <v>3.0</v>
      </c>
      <c r="C7" s="52"/>
      <c r="D7" s="33" t="s">
        <v>102</v>
      </c>
      <c r="E7" s="53" t="s">
        <v>103</v>
      </c>
      <c r="F7" s="33">
        <v>0.0</v>
      </c>
      <c r="G7" s="33">
        <v>1.0</v>
      </c>
      <c r="H7" s="33">
        <v>1.0</v>
      </c>
    </row>
    <row r="8" ht="14.25" customHeight="1">
      <c r="B8" s="23">
        <v>4.0</v>
      </c>
      <c r="C8" s="52"/>
      <c r="D8" s="33" t="s">
        <v>36</v>
      </c>
      <c r="E8" s="53" t="s">
        <v>37</v>
      </c>
      <c r="F8" s="33">
        <v>0.0</v>
      </c>
      <c r="G8" s="33">
        <v>1.0</v>
      </c>
      <c r="H8" s="33">
        <v>1.0</v>
      </c>
    </row>
    <row r="9" ht="14.25" customHeight="1">
      <c r="B9" s="23">
        <v>5.0</v>
      </c>
      <c r="C9" s="52"/>
      <c r="D9" s="23" t="s">
        <v>78</v>
      </c>
      <c r="E9" s="28" t="s">
        <v>79</v>
      </c>
      <c r="F9" s="23">
        <v>1.0</v>
      </c>
      <c r="G9" s="23">
        <v>1.0</v>
      </c>
      <c r="H9" s="23">
        <v>1.0</v>
      </c>
    </row>
    <row r="10" ht="14.25" customHeight="1">
      <c r="B10" s="23">
        <v>6.0</v>
      </c>
      <c r="C10" s="52"/>
      <c r="D10" s="33" t="s">
        <v>224</v>
      </c>
      <c r="E10" s="53" t="s">
        <v>225</v>
      </c>
      <c r="F10" s="33">
        <v>0.0</v>
      </c>
      <c r="G10" s="33">
        <v>0.0</v>
      </c>
      <c r="H10" s="33">
        <v>0.0</v>
      </c>
    </row>
    <row r="11" ht="14.25" customHeight="1">
      <c r="B11" s="23">
        <v>7.0</v>
      </c>
      <c r="C11" s="52"/>
      <c r="D11" s="23" t="s">
        <v>104</v>
      </c>
      <c r="E11" s="28" t="s">
        <v>105</v>
      </c>
      <c r="F11" s="23">
        <v>1.0</v>
      </c>
      <c r="G11" s="23">
        <v>1.0</v>
      </c>
      <c r="H11" s="23">
        <v>1.0</v>
      </c>
    </row>
    <row r="12" ht="14.25" customHeight="1">
      <c r="B12" s="23">
        <v>8.0</v>
      </c>
      <c r="C12" s="52"/>
      <c r="D12" s="33" t="s">
        <v>230</v>
      </c>
      <c r="E12" s="53" t="s">
        <v>231</v>
      </c>
      <c r="F12" s="33">
        <v>1.0</v>
      </c>
      <c r="G12" s="33">
        <v>0.0</v>
      </c>
      <c r="H12" s="33">
        <v>0.0</v>
      </c>
    </row>
    <row r="13" ht="14.25" customHeight="1">
      <c r="B13" s="23">
        <v>9.0</v>
      </c>
      <c r="C13" s="52"/>
      <c r="D13" s="33" t="s">
        <v>132</v>
      </c>
      <c r="E13" s="53" t="s">
        <v>133</v>
      </c>
      <c r="F13" s="33">
        <v>0.0</v>
      </c>
      <c r="G13" s="33">
        <v>1.0</v>
      </c>
      <c r="H13" s="33">
        <v>1.0</v>
      </c>
    </row>
    <row r="14" ht="14.25" customHeight="1">
      <c r="B14" s="23">
        <v>10.0</v>
      </c>
      <c r="C14" s="52"/>
      <c r="D14" s="23" t="s">
        <v>158</v>
      </c>
      <c r="E14" s="28" t="s">
        <v>159</v>
      </c>
      <c r="F14" s="23">
        <v>1.0</v>
      </c>
      <c r="G14" s="23">
        <v>1.0</v>
      </c>
      <c r="H14" s="23">
        <v>1.0</v>
      </c>
    </row>
    <row r="15" ht="14.25" customHeight="1">
      <c r="B15" s="23">
        <v>11.0</v>
      </c>
      <c r="C15" s="52"/>
      <c r="D15" s="23" t="s">
        <v>18</v>
      </c>
      <c r="E15" s="28" t="s">
        <v>19</v>
      </c>
      <c r="F15" s="23">
        <v>1.0</v>
      </c>
      <c r="G15" s="23">
        <v>1.0</v>
      </c>
      <c r="H15" s="23">
        <v>1.0</v>
      </c>
    </row>
    <row r="16" ht="14.25" customHeight="1">
      <c r="B16" s="23">
        <v>12.0</v>
      </c>
      <c r="C16" s="52"/>
      <c r="D16" s="23" t="s">
        <v>138</v>
      </c>
      <c r="E16" s="28" t="s">
        <v>139</v>
      </c>
      <c r="F16" s="23">
        <v>1.0</v>
      </c>
      <c r="G16" s="23">
        <v>1.0</v>
      </c>
      <c r="H16" s="23">
        <v>1.0</v>
      </c>
    </row>
    <row r="17" ht="14.25" customHeight="1">
      <c r="B17" s="23">
        <v>13.0</v>
      </c>
      <c r="C17" s="52"/>
      <c r="D17" s="33" t="s">
        <v>228</v>
      </c>
      <c r="E17" s="53" t="s">
        <v>229</v>
      </c>
      <c r="F17" s="33">
        <v>0.0</v>
      </c>
      <c r="G17" s="33">
        <v>0.0</v>
      </c>
      <c r="H17" s="33">
        <v>0.0</v>
      </c>
    </row>
    <row r="18" ht="14.25" customHeight="1">
      <c r="B18" s="23">
        <v>14.0</v>
      </c>
      <c r="C18" s="52"/>
      <c r="D18" s="33" t="s">
        <v>198</v>
      </c>
      <c r="E18" s="53" t="s">
        <v>199</v>
      </c>
      <c r="F18" s="33">
        <v>1.0</v>
      </c>
      <c r="G18" s="33">
        <v>1.0</v>
      </c>
      <c r="H18" s="33">
        <v>1.0</v>
      </c>
    </row>
    <row r="19" ht="14.25" customHeight="1">
      <c r="B19" s="23">
        <v>15.0</v>
      </c>
      <c r="C19" s="52"/>
      <c r="D19" s="23" t="s">
        <v>20</v>
      </c>
      <c r="E19" s="28" t="s">
        <v>21</v>
      </c>
      <c r="F19" s="23">
        <v>1.0</v>
      </c>
      <c r="G19" s="23">
        <v>1.0</v>
      </c>
      <c r="H19" s="23">
        <v>1.0</v>
      </c>
    </row>
    <row r="20" ht="14.25" customHeight="1">
      <c r="B20" s="23">
        <v>16.0</v>
      </c>
      <c r="C20" s="52"/>
      <c r="D20" s="33" t="s">
        <v>34</v>
      </c>
      <c r="E20" s="53" t="s">
        <v>35</v>
      </c>
      <c r="F20" s="33">
        <v>0.0</v>
      </c>
      <c r="G20" s="33">
        <v>0.0</v>
      </c>
      <c r="H20" s="33">
        <v>1.0</v>
      </c>
    </row>
    <row r="21" ht="14.25" customHeight="1">
      <c r="B21" s="23">
        <v>17.0</v>
      </c>
      <c r="C21" s="52"/>
      <c r="D21" s="23" t="s">
        <v>108</v>
      </c>
      <c r="E21" s="28" t="s">
        <v>109</v>
      </c>
      <c r="F21" s="23">
        <v>1.0</v>
      </c>
      <c r="G21" s="23">
        <v>1.0</v>
      </c>
      <c r="H21" s="23">
        <v>1.0</v>
      </c>
    </row>
    <row r="22" ht="14.25" customHeight="1">
      <c r="B22" s="23">
        <v>18.0</v>
      </c>
      <c r="C22" s="52"/>
      <c r="D22" s="23" t="s">
        <v>112</v>
      </c>
      <c r="E22" s="28" t="s">
        <v>113</v>
      </c>
      <c r="F22" s="23">
        <v>1.0</v>
      </c>
      <c r="G22" s="23">
        <v>1.0</v>
      </c>
      <c r="H22" s="23">
        <v>1.0</v>
      </c>
    </row>
    <row r="23" ht="14.25" customHeight="1">
      <c r="B23" s="23">
        <v>19.0</v>
      </c>
      <c r="C23" s="52"/>
      <c r="D23" s="23" t="s">
        <v>222</v>
      </c>
      <c r="E23" s="28" t="s">
        <v>223</v>
      </c>
      <c r="F23" s="23">
        <v>1.0</v>
      </c>
      <c r="G23" s="23">
        <v>1.0</v>
      </c>
      <c r="H23" s="23">
        <v>1.0</v>
      </c>
    </row>
    <row r="24" ht="14.25" customHeight="1">
      <c r="B24" s="23">
        <v>20.0</v>
      </c>
      <c r="C24" s="52"/>
      <c r="D24" s="23" t="s">
        <v>74</v>
      </c>
      <c r="E24" s="28" t="s">
        <v>75</v>
      </c>
      <c r="F24" s="23">
        <v>1.0</v>
      </c>
      <c r="G24" s="23">
        <v>1.0</v>
      </c>
      <c r="H24" s="23">
        <v>1.0</v>
      </c>
    </row>
    <row r="25" ht="14.25" customHeight="1">
      <c r="B25" s="23">
        <v>21.0</v>
      </c>
      <c r="C25" s="52"/>
      <c r="D25" s="23" t="s">
        <v>28</v>
      </c>
      <c r="E25" s="28" t="s">
        <v>29</v>
      </c>
      <c r="F25" s="23">
        <v>1.0</v>
      </c>
      <c r="G25" s="23">
        <v>1.0</v>
      </c>
      <c r="H25" s="23">
        <v>1.0</v>
      </c>
    </row>
    <row r="26" ht="14.25" customHeight="1">
      <c r="B26" s="23">
        <v>22.0</v>
      </c>
      <c r="C26" s="52"/>
      <c r="D26" s="33" t="s">
        <v>216</v>
      </c>
      <c r="E26" s="53" t="s">
        <v>217</v>
      </c>
      <c r="F26" s="33">
        <v>1.0</v>
      </c>
      <c r="G26" s="33">
        <v>0.0</v>
      </c>
      <c r="H26" s="33">
        <v>0.0</v>
      </c>
    </row>
    <row r="27" ht="14.25" customHeight="1">
      <c r="B27" s="23">
        <v>23.0</v>
      </c>
      <c r="C27" s="52"/>
      <c r="D27" s="23" t="s">
        <v>24</v>
      </c>
      <c r="E27" s="28" t="s">
        <v>25</v>
      </c>
      <c r="F27" s="23">
        <v>1.0</v>
      </c>
      <c r="G27" s="23">
        <v>1.0</v>
      </c>
      <c r="H27" s="23">
        <v>1.0</v>
      </c>
    </row>
    <row r="28" ht="14.25" customHeight="1">
      <c r="B28" s="23">
        <v>24.0</v>
      </c>
      <c r="C28" s="52"/>
      <c r="D28" s="23" t="s">
        <v>110</v>
      </c>
      <c r="E28" s="28" t="s">
        <v>111</v>
      </c>
      <c r="F28" s="23">
        <v>1.0</v>
      </c>
      <c r="G28" s="23">
        <v>1.0</v>
      </c>
      <c r="H28" s="23">
        <v>1.0</v>
      </c>
    </row>
    <row r="29" ht="14.25" customHeight="1">
      <c r="B29" s="23">
        <v>25.0</v>
      </c>
      <c r="C29" s="52"/>
      <c r="D29" s="23" t="s">
        <v>214</v>
      </c>
      <c r="E29" s="28" t="s">
        <v>215</v>
      </c>
      <c r="F29" s="23">
        <v>1.0</v>
      </c>
      <c r="G29" s="23">
        <v>1.0</v>
      </c>
      <c r="H29" s="23">
        <v>1.0</v>
      </c>
    </row>
    <row r="30" ht="14.25" customHeight="1">
      <c r="B30" s="23">
        <v>26.0</v>
      </c>
      <c r="C30" s="52"/>
      <c r="D30" s="23" t="s">
        <v>26</v>
      </c>
      <c r="E30" s="28" t="s">
        <v>27</v>
      </c>
      <c r="F30" s="23">
        <v>1.0</v>
      </c>
      <c r="G30" s="23">
        <v>1.0</v>
      </c>
      <c r="H30" s="23">
        <v>1.0</v>
      </c>
    </row>
    <row r="31" ht="14.25" customHeight="1">
      <c r="B31" s="23">
        <v>27.0</v>
      </c>
      <c r="C31" s="52"/>
      <c r="D31" s="33" t="s">
        <v>124</v>
      </c>
      <c r="E31" s="53" t="s">
        <v>125</v>
      </c>
      <c r="F31" s="33">
        <v>0.0</v>
      </c>
      <c r="G31" s="33">
        <v>0.0</v>
      </c>
      <c r="H31" s="33">
        <v>1.0</v>
      </c>
    </row>
    <row r="32" ht="14.25" customHeight="1">
      <c r="B32" s="23">
        <v>28.0</v>
      </c>
      <c r="C32" s="52"/>
      <c r="D32" s="23" t="s">
        <v>114</v>
      </c>
      <c r="E32" s="28" t="s">
        <v>115</v>
      </c>
      <c r="F32" s="23">
        <v>1.0</v>
      </c>
      <c r="G32" s="23">
        <v>1.0</v>
      </c>
      <c r="H32" s="23">
        <v>1.0</v>
      </c>
    </row>
    <row r="33" ht="14.25" customHeight="1">
      <c r="B33" s="23">
        <v>29.0</v>
      </c>
      <c r="C33" s="52"/>
      <c r="D33" s="23" t="s">
        <v>30</v>
      </c>
      <c r="E33" s="28" t="s">
        <v>31</v>
      </c>
      <c r="F33" s="23">
        <v>1.0</v>
      </c>
      <c r="G33" s="23">
        <v>1.0</v>
      </c>
      <c r="H33" s="23">
        <v>1.0</v>
      </c>
    </row>
    <row r="34" ht="14.25" customHeight="1">
      <c r="B34" s="23">
        <v>30.0</v>
      </c>
      <c r="C34" s="52"/>
      <c r="D34" s="23" t="s">
        <v>120</v>
      </c>
      <c r="E34" s="28" t="s">
        <v>121</v>
      </c>
      <c r="F34" s="23">
        <v>1.0</v>
      </c>
      <c r="G34" s="23">
        <v>1.0</v>
      </c>
      <c r="H34" s="23">
        <v>1.0</v>
      </c>
    </row>
    <row r="35" ht="14.25" customHeight="1">
      <c r="B35" s="23">
        <v>31.0</v>
      </c>
      <c r="C35" s="52"/>
      <c r="D35" s="33" t="s">
        <v>122</v>
      </c>
      <c r="E35" s="53" t="s">
        <v>123</v>
      </c>
      <c r="F35" s="33">
        <v>0.0</v>
      </c>
      <c r="G35" s="33">
        <v>0.0</v>
      </c>
      <c r="H35" s="33">
        <v>1.0</v>
      </c>
    </row>
    <row r="36" ht="14.25" customHeight="1">
      <c r="B36" s="23">
        <v>32.0</v>
      </c>
      <c r="C36" s="52"/>
      <c r="D36" s="23" t="s">
        <v>118</v>
      </c>
      <c r="E36" s="28" t="s">
        <v>119</v>
      </c>
      <c r="F36" s="23">
        <v>1.0</v>
      </c>
      <c r="G36" s="23">
        <v>1.0</v>
      </c>
      <c r="H36" s="23">
        <v>1.0</v>
      </c>
    </row>
    <row r="37" ht="14.25" customHeight="1">
      <c r="B37" s="23">
        <v>33.0</v>
      </c>
      <c r="C37" s="52"/>
      <c r="D37" s="23" t="s">
        <v>32</v>
      </c>
      <c r="E37" s="28" t="s">
        <v>33</v>
      </c>
      <c r="F37" s="23">
        <v>1.0</v>
      </c>
      <c r="G37" s="23">
        <v>1.0</v>
      </c>
      <c r="H37" s="23">
        <v>1.0</v>
      </c>
    </row>
    <row r="38" ht="14.25" customHeight="1">
      <c r="B38" s="23">
        <v>34.0</v>
      </c>
      <c r="C38" s="52"/>
      <c r="D38" s="33" t="s">
        <v>242</v>
      </c>
      <c r="E38" s="53" t="s">
        <v>243</v>
      </c>
      <c r="F38" s="33">
        <v>1.0</v>
      </c>
      <c r="G38" s="33">
        <v>0.0</v>
      </c>
      <c r="H38" s="33">
        <v>1.0</v>
      </c>
    </row>
    <row r="39" ht="14.25" customHeight="1">
      <c r="B39" s="23">
        <v>35.0</v>
      </c>
      <c r="C39" s="52"/>
      <c r="D39" s="23" t="s">
        <v>126</v>
      </c>
      <c r="E39" s="28" t="s">
        <v>127</v>
      </c>
      <c r="F39" s="23">
        <v>1.0</v>
      </c>
      <c r="G39" s="23">
        <v>1.0</v>
      </c>
      <c r="H39" s="23">
        <v>1.0</v>
      </c>
    </row>
    <row r="40" ht="14.25" customHeight="1">
      <c r="B40" s="23">
        <v>36.0</v>
      </c>
      <c r="C40" s="52"/>
      <c r="D40" s="23" t="s">
        <v>134</v>
      </c>
      <c r="E40" s="28" t="s">
        <v>135</v>
      </c>
      <c r="F40" s="23">
        <v>1.0</v>
      </c>
      <c r="G40" s="23">
        <v>1.0</v>
      </c>
      <c r="H40" s="23">
        <v>1.0</v>
      </c>
    </row>
    <row r="41" ht="14.25" customHeight="1">
      <c r="B41" s="23">
        <v>37.0</v>
      </c>
      <c r="C41" s="52"/>
      <c r="D41" s="33" t="s">
        <v>234</v>
      </c>
      <c r="E41" s="53" t="s">
        <v>235</v>
      </c>
      <c r="F41" s="33">
        <v>0.0</v>
      </c>
      <c r="G41" s="33">
        <v>1.0</v>
      </c>
      <c r="H41" s="33">
        <v>1.0</v>
      </c>
    </row>
    <row r="42" ht="14.25" customHeight="1">
      <c r="B42" s="23">
        <v>38.0</v>
      </c>
      <c r="C42" s="52"/>
      <c r="D42" s="33" t="s">
        <v>250</v>
      </c>
      <c r="E42" s="53" t="s">
        <v>251</v>
      </c>
      <c r="F42" s="33">
        <v>0.0</v>
      </c>
      <c r="G42" s="33">
        <v>0.0</v>
      </c>
      <c r="H42" s="33">
        <v>0.0</v>
      </c>
    </row>
    <row r="43" ht="14.25" customHeight="1">
      <c r="B43" s="23">
        <v>39.0</v>
      </c>
      <c r="C43" s="52"/>
      <c r="D43" s="23" t="s">
        <v>40</v>
      </c>
      <c r="E43" s="28" t="s">
        <v>41</v>
      </c>
      <c r="F43" s="23">
        <v>1.0</v>
      </c>
      <c r="G43" s="23">
        <v>1.0</v>
      </c>
      <c r="H43" s="23">
        <v>1.0</v>
      </c>
    </row>
    <row r="44" ht="14.25" customHeight="1">
      <c r="B44" s="23">
        <v>40.0</v>
      </c>
      <c r="C44" s="52"/>
      <c r="D44" s="23" t="s">
        <v>38</v>
      </c>
      <c r="E44" s="28" t="s">
        <v>39</v>
      </c>
      <c r="F44" s="23">
        <v>1.0</v>
      </c>
      <c r="G44" s="23">
        <v>1.0</v>
      </c>
      <c r="H44" s="23">
        <v>1.0</v>
      </c>
    </row>
    <row r="45" ht="14.25" customHeight="1">
      <c r="B45" s="23">
        <v>41.0</v>
      </c>
      <c r="C45" s="52"/>
      <c r="D45" s="23" t="s">
        <v>100</v>
      </c>
      <c r="E45" s="28" t="s">
        <v>101</v>
      </c>
      <c r="F45" s="23">
        <v>1.0</v>
      </c>
      <c r="G45" s="23">
        <v>1.0</v>
      </c>
      <c r="H45" s="23">
        <v>1.0</v>
      </c>
    </row>
    <row r="46" ht="14.25" customHeight="1">
      <c r="B46" s="23">
        <v>42.0</v>
      </c>
      <c r="C46" s="52"/>
      <c r="D46" s="23" t="s">
        <v>140</v>
      </c>
      <c r="E46" s="28" t="s">
        <v>141</v>
      </c>
      <c r="F46" s="23">
        <v>1.0</v>
      </c>
      <c r="G46" s="23">
        <v>1.0</v>
      </c>
      <c r="H46" s="23">
        <v>1.0</v>
      </c>
    </row>
    <row r="47" ht="14.25" customHeight="1">
      <c r="B47" s="23">
        <v>43.0</v>
      </c>
      <c r="C47" s="52"/>
      <c r="D47" s="33" t="s">
        <v>116</v>
      </c>
      <c r="E47" s="53" t="s">
        <v>117</v>
      </c>
      <c r="F47" s="33">
        <v>1.0</v>
      </c>
      <c r="G47" s="33">
        <v>0.0</v>
      </c>
      <c r="H47" s="33">
        <v>0.0</v>
      </c>
    </row>
    <row r="48" ht="14.25" customHeight="1">
      <c r="B48" s="23">
        <v>44.0</v>
      </c>
      <c r="C48" s="52"/>
      <c r="D48" s="23" t="s">
        <v>42</v>
      </c>
      <c r="E48" s="28" t="s">
        <v>43</v>
      </c>
      <c r="F48" s="23">
        <v>1.0</v>
      </c>
      <c r="G48" s="23">
        <v>1.0</v>
      </c>
      <c r="H48" s="23">
        <v>1.0</v>
      </c>
    </row>
    <row r="49" ht="14.25" customHeight="1">
      <c r="B49" s="23">
        <v>45.0</v>
      </c>
      <c r="C49" s="52"/>
      <c r="D49" s="33" t="s">
        <v>106</v>
      </c>
      <c r="E49" s="53" t="s">
        <v>107</v>
      </c>
      <c r="F49" s="33">
        <v>1.0</v>
      </c>
      <c r="G49" s="33">
        <v>0.0</v>
      </c>
      <c r="H49" s="33">
        <v>0.0</v>
      </c>
    </row>
    <row r="50" ht="14.25" customHeight="1">
      <c r="B50" s="23">
        <v>46.0</v>
      </c>
      <c r="C50" s="52"/>
      <c r="D50" s="23" t="s">
        <v>44</v>
      </c>
      <c r="E50" s="28" t="s">
        <v>45</v>
      </c>
      <c r="F50" s="23">
        <v>1.0</v>
      </c>
      <c r="G50" s="23">
        <v>1.0</v>
      </c>
      <c r="H50" s="23">
        <v>1.0</v>
      </c>
    </row>
    <row r="51" ht="14.25" customHeight="1">
      <c r="B51" s="23">
        <v>47.0</v>
      </c>
      <c r="C51" s="52"/>
      <c r="D51" s="23" t="s">
        <v>128</v>
      </c>
      <c r="E51" s="28" t="s">
        <v>129</v>
      </c>
      <c r="F51" s="23">
        <v>1.0</v>
      </c>
      <c r="G51" s="23">
        <v>1.0</v>
      </c>
      <c r="H51" s="23">
        <v>1.0</v>
      </c>
    </row>
    <row r="52" ht="14.25" customHeight="1">
      <c r="B52" s="23">
        <v>48.0</v>
      </c>
      <c r="C52" s="52"/>
      <c r="D52" s="23" t="s">
        <v>46</v>
      </c>
      <c r="E52" s="28" t="s">
        <v>47</v>
      </c>
      <c r="F52" s="23">
        <v>1.0</v>
      </c>
      <c r="G52" s="23">
        <v>1.0</v>
      </c>
      <c r="H52" s="23">
        <v>1.0</v>
      </c>
    </row>
    <row r="53" ht="14.25" customHeight="1">
      <c r="B53" s="23">
        <v>49.0</v>
      </c>
      <c r="C53" s="52"/>
      <c r="D53" s="23" t="s">
        <v>150</v>
      </c>
      <c r="E53" s="28" t="s">
        <v>151</v>
      </c>
      <c r="F53" s="23">
        <v>1.0</v>
      </c>
      <c r="G53" s="23">
        <v>1.0</v>
      </c>
      <c r="H53" s="23">
        <v>1.0</v>
      </c>
    </row>
    <row r="54" ht="14.25" customHeight="1">
      <c r="B54" s="23">
        <v>50.0</v>
      </c>
      <c r="C54" s="52"/>
      <c r="D54" s="23" t="s">
        <v>50</v>
      </c>
      <c r="E54" s="28" t="s">
        <v>51</v>
      </c>
      <c r="F54" s="23">
        <v>1.0</v>
      </c>
      <c r="G54" s="23">
        <v>1.0</v>
      </c>
      <c r="H54" s="23">
        <v>1.0</v>
      </c>
    </row>
    <row r="55" ht="14.25" customHeight="1">
      <c r="B55" s="23">
        <v>51.0</v>
      </c>
      <c r="C55" s="52"/>
      <c r="D55" s="33" t="s">
        <v>154</v>
      </c>
      <c r="E55" s="53" t="s">
        <v>155</v>
      </c>
      <c r="F55" s="33">
        <v>0.0</v>
      </c>
      <c r="G55" s="33">
        <v>0.0</v>
      </c>
      <c r="H55" s="33">
        <v>0.0</v>
      </c>
    </row>
    <row r="56" ht="14.25" customHeight="1">
      <c r="B56" s="23">
        <v>52.0</v>
      </c>
      <c r="C56" s="52"/>
      <c r="D56" s="23" t="s">
        <v>48</v>
      </c>
      <c r="E56" s="28" t="s">
        <v>49</v>
      </c>
      <c r="F56" s="23">
        <v>1.0</v>
      </c>
      <c r="G56" s="23">
        <v>1.0</v>
      </c>
      <c r="H56" s="23">
        <v>1.0</v>
      </c>
    </row>
    <row r="57" ht="14.25" customHeight="1">
      <c r="B57" s="23">
        <v>53.0</v>
      </c>
      <c r="C57" s="52"/>
      <c r="D57" s="23" t="s">
        <v>178</v>
      </c>
      <c r="E57" s="28" t="s">
        <v>179</v>
      </c>
      <c r="F57" s="23">
        <v>1.0</v>
      </c>
      <c r="G57" s="23">
        <v>1.0</v>
      </c>
      <c r="H57" s="23">
        <v>1.0</v>
      </c>
    </row>
    <row r="58" ht="14.25" customHeight="1">
      <c r="B58" s="23">
        <v>54.0</v>
      </c>
      <c r="C58" s="52"/>
      <c r="D58" s="33" t="s">
        <v>160</v>
      </c>
      <c r="E58" s="53" t="s">
        <v>161</v>
      </c>
      <c r="F58" s="33">
        <v>0.0</v>
      </c>
      <c r="G58" s="33">
        <v>1.0</v>
      </c>
      <c r="H58" s="33">
        <v>1.0</v>
      </c>
    </row>
    <row r="59" ht="14.25" customHeight="1">
      <c r="B59" s="23">
        <v>55.0</v>
      </c>
      <c r="C59" s="52"/>
      <c r="D59" s="23" t="s">
        <v>162</v>
      </c>
      <c r="E59" s="28" t="s">
        <v>163</v>
      </c>
      <c r="F59" s="23">
        <v>1.0</v>
      </c>
      <c r="G59" s="23">
        <v>1.0</v>
      </c>
      <c r="H59" s="23">
        <v>1.0</v>
      </c>
    </row>
    <row r="60" ht="14.25" customHeight="1">
      <c r="B60" s="23">
        <v>56.0</v>
      </c>
      <c r="C60" s="52"/>
      <c r="D60" s="33" t="s">
        <v>240</v>
      </c>
      <c r="E60" s="53" t="s">
        <v>241</v>
      </c>
      <c r="F60" s="33">
        <v>1.0</v>
      </c>
      <c r="G60" s="33">
        <v>0.0</v>
      </c>
      <c r="H60" s="33">
        <v>0.0</v>
      </c>
    </row>
    <row r="61" ht="14.25" customHeight="1">
      <c r="B61" s="23">
        <v>57.0</v>
      </c>
      <c r="C61" s="52"/>
      <c r="D61" s="23" t="s">
        <v>68</v>
      </c>
      <c r="E61" s="28" t="s">
        <v>69</v>
      </c>
      <c r="F61" s="23">
        <v>1.0</v>
      </c>
      <c r="G61" s="23">
        <v>1.0</v>
      </c>
      <c r="H61" s="23">
        <v>1.0</v>
      </c>
    </row>
    <row r="62" ht="14.25" customHeight="1">
      <c r="B62" s="23">
        <v>58.0</v>
      </c>
      <c r="C62" s="52"/>
      <c r="D62" s="23" t="s">
        <v>52</v>
      </c>
      <c r="E62" s="28" t="s">
        <v>53</v>
      </c>
      <c r="F62" s="23">
        <v>1.0</v>
      </c>
      <c r="G62" s="23">
        <v>0.0</v>
      </c>
      <c r="H62" s="23">
        <v>1.0</v>
      </c>
    </row>
    <row r="63" ht="14.25" customHeight="1">
      <c r="B63" s="23">
        <v>59.0</v>
      </c>
      <c r="C63" s="52"/>
      <c r="D63" s="33" t="s">
        <v>170</v>
      </c>
      <c r="E63" s="53" t="s">
        <v>171</v>
      </c>
      <c r="F63" s="33">
        <v>0.0</v>
      </c>
      <c r="G63" s="33">
        <v>0.0</v>
      </c>
      <c r="H63" s="33">
        <v>0.0</v>
      </c>
    </row>
    <row r="64" ht="14.25" customHeight="1">
      <c r="B64" s="23">
        <v>60.0</v>
      </c>
      <c r="C64" s="52"/>
      <c r="D64" s="33" t="s">
        <v>166</v>
      </c>
      <c r="E64" s="53" t="s">
        <v>167</v>
      </c>
      <c r="F64" s="33">
        <v>0.0</v>
      </c>
      <c r="G64" s="33">
        <v>0.0</v>
      </c>
      <c r="H64" s="33">
        <v>0.0</v>
      </c>
    </row>
    <row r="65" ht="14.25" customHeight="1">
      <c r="B65" s="23">
        <v>61.0</v>
      </c>
      <c r="C65" s="52"/>
      <c r="D65" s="23" t="s">
        <v>58</v>
      </c>
      <c r="E65" s="28" t="s">
        <v>59</v>
      </c>
      <c r="F65" s="23">
        <v>1.0</v>
      </c>
      <c r="G65" s="23">
        <v>1.0</v>
      </c>
      <c r="H65" s="23">
        <v>1.0</v>
      </c>
    </row>
    <row r="66" ht="14.25" customHeight="1">
      <c r="B66" s="23">
        <v>62.0</v>
      </c>
      <c r="C66" s="52"/>
      <c r="D66" s="23" t="s">
        <v>56</v>
      </c>
      <c r="E66" s="28" t="s">
        <v>57</v>
      </c>
      <c r="F66" s="23">
        <v>1.0</v>
      </c>
      <c r="G66" s="23">
        <v>1.0</v>
      </c>
      <c r="H66" s="23">
        <v>1.0</v>
      </c>
    </row>
    <row r="67" ht="14.25" customHeight="1">
      <c r="B67" s="23">
        <v>63.0</v>
      </c>
      <c r="C67" s="52"/>
      <c r="D67" s="23" t="s">
        <v>60</v>
      </c>
      <c r="E67" s="28" t="s">
        <v>61</v>
      </c>
      <c r="F67" s="23">
        <v>1.0</v>
      </c>
      <c r="G67" s="23">
        <v>1.0</v>
      </c>
      <c r="H67" s="23">
        <v>1.0</v>
      </c>
    </row>
    <row r="68" ht="14.25" customHeight="1">
      <c r="B68" s="23">
        <v>64.0</v>
      </c>
      <c r="C68" s="52"/>
      <c r="D68" s="23" t="s">
        <v>62</v>
      </c>
      <c r="E68" s="28" t="s">
        <v>63</v>
      </c>
      <c r="F68" s="23">
        <v>0.0</v>
      </c>
      <c r="G68" s="23">
        <v>1.0</v>
      </c>
      <c r="H68" s="23">
        <v>1.0</v>
      </c>
    </row>
    <row r="69" ht="14.25" customHeight="1">
      <c r="B69" s="23">
        <v>65.0</v>
      </c>
      <c r="C69" s="52"/>
      <c r="D69" s="33" t="s">
        <v>172</v>
      </c>
      <c r="E69" s="53" t="s">
        <v>173</v>
      </c>
      <c r="F69" s="33">
        <v>0.0</v>
      </c>
      <c r="G69" s="33">
        <v>0.0</v>
      </c>
      <c r="H69" s="33">
        <v>0.0</v>
      </c>
    </row>
    <row r="70" ht="14.25" customHeight="1">
      <c r="B70" s="23">
        <v>66.0</v>
      </c>
      <c r="C70" s="52"/>
      <c r="D70" s="23" t="s">
        <v>54</v>
      </c>
      <c r="E70" s="28" t="s">
        <v>55</v>
      </c>
      <c r="F70" s="23">
        <v>1.0</v>
      </c>
      <c r="G70" s="23">
        <v>1.0</v>
      </c>
      <c r="H70" s="23">
        <v>1.0</v>
      </c>
    </row>
    <row r="71" ht="14.25" customHeight="1">
      <c r="B71" s="23">
        <v>67.0</v>
      </c>
      <c r="C71" s="52"/>
      <c r="D71" s="23" t="s">
        <v>218</v>
      </c>
      <c r="E71" s="28" t="s">
        <v>219</v>
      </c>
      <c r="F71" s="23">
        <v>1.0</v>
      </c>
      <c r="G71" s="23">
        <v>1.0</v>
      </c>
      <c r="H71" s="23">
        <v>1.0</v>
      </c>
    </row>
    <row r="72" ht="14.25" customHeight="1">
      <c r="B72" s="23">
        <v>68.0</v>
      </c>
      <c r="C72" s="52"/>
      <c r="D72" s="23" t="s">
        <v>186</v>
      </c>
      <c r="E72" s="28" t="s">
        <v>187</v>
      </c>
      <c r="F72" s="23">
        <v>1.0</v>
      </c>
      <c r="G72" s="23">
        <v>1.0</v>
      </c>
      <c r="H72" s="23">
        <v>1.0</v>
      </c>
    </row>
    <row r="73" ht="14.25" customHeight="1">
      <c r="B73" s="23">
        <v>69.0</v>
      </c>
      <c r="C73" s="52"/>
      <c r="D73" s="23" t="s">
        <v>148</v>
      </c>
      <c r="E73" s="28" t="s">
        <v>149</v>
      </c>
      <c r="F73" s="23">
        <v>1.0</v>
      </c>
      <c r="G73" s="23">
        <v>1.0</v>
      </c>
      <c r="H73" s="23">
        <v>1.0</v>
      </c>
    </row>
    <row r="74" ht="14.25" customHeight="1">
      <c r="B74" s="23">
        <v>70.0</v>
      </c>
      <c r="C74" s="52"/>
      <c r="D74" s="33" t="s">
        <v>248</v>
      </c>
      <c r="E74" s="53" t="s">
        <v>249</v>
      </c>
      <c r="F74" s="33">
        <v>1.0</v>
      </c>
      <c r="G74" s="33">
        <v>1.0</v>
      </c>
      <c r="H74" s="33">
        <v>0.0</v>
      </c>
    </row>
    <row r="75" ht="14.25" customHeight="1">
      <c r="B75" s="23">
        <v>71.0</v>
      </c>
      <c r="C75" s="52"/>
      <c r="D75" s="23" t="s">
        <v>190</v>
      </c>
      <c r="E75" s="28" t="s">
        <v>191</v>
      </c>
      <c r="F75" s="23">
        <v>1.0</v>
      </c>
      <c r="G75" s="23">
        <v>1.0</v>
      </c>
      <c r="H75" s="23">
        <v>1.0</v>
      </c>
    </row>
    <row r="76" ht="14.25" customHeight="1">
      <c r="B76" s="23">
        <v>72.0</v>
      </c>
      <c r="C76" s="52"/>
      <c r="D76" s="23" t="s">
        <v>66</v>
      </c>
      <c r="E76" s="28" t="s">
        <v>67</v>
      </c>
      <c r="F76" s="23">
        <v>1.0</v>
      </c>
      <c r="G76" s="23">
        <v>1.0</v>
      </c>
      <c r="H76" s="23">
        <v>1.0</v>
      </c>
    </row>
    <row r="77" ht="14.25" customHeight="1">
      <c r="B77" s="23">
        <v>73.0</v>
      </c>
      <c r="C77" s="52"/>
      <c r="D77" s="33" t="s">
        <v>192</v>
      </c>
      <c r="E77" s="53" t="s">
        <v>193</v>
      </c>
      <c r="F77" s="33">
        <v>0.0</v>
      </c>
      <c r="G77" s="33">
        <v>1.0</v>
      </c>
      <c r="H77" s="33">
        <v>0.0</v>
      </c>
    </row>
    <row r="78" ht="14.25" customHeight="1">
      <c r="B78" s="23">
        <v>74.0</v>
      </c>
      <c r="C78" s="52"/>
      <c r="D78" s="23" t="s">
        <v>64</v>
      </c>
      <c r="E78" s="28" t="s">
        <v>65</v>
      </c>
      <c r="F78" s="23">
        <v>1.0</v>
      </c>
      <c r="G78" s="23">
        <v>1.0</v>
      </c>
      <c r="H78" s="23">
        <v>1.0</v>
      </c>
    </row>
    <row r="79" ht="14.25" customHeight="1">
      <c r="B79" s="23">
        <v>75.0</v>
      </c>
      <c r="C79" s="52"/>
      <c r="D79" s="33" t="s">
        <v>208</v>
      </c>
      <c r="E79" s="53" t="s">
        <v>209</v>
      </c>
      <c r="F79" s="33">
        <v>0.0</v>
      </c>
      <c r="G79" s="33">
        <v>0.0</v>
      </c>
      <c r="H79" s="33">
        <v>1.0</v>
      </c>
    </row>
    <row r="80" ht="14.25" customHeight="1">
      <c r="B80" s="23">
        <v>76.0</v>
      </c>
      <c r="C80" s="52"/>
      <c r="D80" s="23" t="s">
        <v>184</v>
      </c>
      <c r="E80" s="28" t="s">
        <v>185</v>
      </c>
      <c r="F80" s="23">
        <v>1.0</v>
      </c>
      <c r="G80" s="23">
        <v>1.0</v>
      </c>
      <c r="H80" s="23">
        <v>1.0</v>
      </c>
    </row>
    <row r="81" ht="14.25" customHeight="1">
      <c r="B81" s="23">
        <v>77.0</v>
      </c>
      <c r="C81" s="52"/>
      <c r="D81" s="23" t="s">
        <v>176</v>
      </c>
      <c r="E81" s="28" t="s">
        <v>177</v>
      </c>
      <c r="F81" s="23">
        <v>1.0</v>
      </c>
      <c r="G81" s="23">
        <v>1.0</v>
      </c>
      <c r="H81" s="23">
        <v>1.0</v>
      </c>
    </row>
    <row r="82" ht="14.25" customHeight="1">
      <c r="B82" s="23">
        <v>78.0</v>
      </c>
      <c r="C82" s="52"/>
      <c r="D82" s="23" t="s">
        <v>72</v>
      </c>
      <c r="E82" s="28" t="s">
        <v>73</v>
      </c>
      <c r="F82" s="23">
        <v>1.0</v>
      </c>
      <c r="G82" s="23">
        <v>1.0</v>
      </c>
      <c r="H82" s="23">
        <v>1.0</v>
      </c>
    </row>
    <row r="83" ht="14.25" customHeight="1">
      <c r="B83" s="23">
        <v>79.0</v>
      </c>
      <c r="C83" s="52"/>
      <c r="D83" s="23" t="s">
        <v>70</v>
      </c>
      <c r="E83" s="28" t="s">
        <v>71</v>
      </c>
      <c r="F83" s="23">
        <v>1.0</v>
      </c>
      <c r="G83" s="23">
        <v>1.0</v>
      </c>
      <c r="H83" s="23">
        <v>1.0</v>
      </c>
    </row>
    <row r="84" ht="14.25" customHeight="1">
      <c r="B84" s="23">
        <v>80.0</v>
      </c>
      <c r="C84" s="52"/>
      <c r="D84" s="33" t="s">
        <v>252</v>
      </c>
      <c r="E84" s="53" t="s">
        <v>253</v>
      </c>
      <c r="F84" s="33">
        <v>1.0</v>
      </c>
      <c r="G84" s="33">
        <v>0.0</v>
      </c>
      <c r="H84" s="33">
        <v>0.0</v>
      </c>
    </row>
    <row r="85" ht="14.25" customHeight="1">
      <c r="B85" s="23">
        <v>81.0</v>
      </c>
      <c r="C85" s="52"/>
      <c r="D85" s="33" t="s">
        <v>200</v>
      </c>
      <c r="E85" s="53" t="s">
        <v>201</v>
      </c>
      <c r="F85" s="33">
        <v>1.0</v>
      </c>
      <c r="G85" s="33">
        <v>1.0</v>
      </c>
      <c r="H85" s="33">
        <v>0.0</v>
      </c>
    </row>
    <row r="86" ht="14.25" customHeight="1">
      <c r="B86" s="23">
        <v>82.0</v>
      </c>
      <c r="C86" s="52"/>
      <c r="D86" s="23" t="s">
        <v>202</v>
      </c>
      <c r="E86" s="28" t="s">
        <v>203</v>
      </c>
      <c r="F86" s="23">
        <v>1.0</v>
      </c>
      <c r="G86" s="23">
        <v>1.0</v>
      </c>
      <c r="H86" s="23">
        <v>1.0</v>
      </c>
    </row>
    <row r="87" ht="14.25" customHeight="1">
      <c r="B87" s="23">
        <v>83.0</v>
      </c>
      <c r="C87" s="52"/>
      <c r="D87" s="23" t="s">
        <v>206</v>
      </c>
      <c r="E87" s="28" t="s">
        <v>207</v>
      </c>
      <c r="F87" s="23">
        <v>1.0</v>
      </c>
      <c r="G87" s="23">
        <v>1.0</v>
      </c>
      <c r="H87" s="23">
        <v>1.0</v>
      </c>
    </row>
    <row r="88" ht="14.25" customHeight="1">
      <c r="B88" s="23">
        <v>84.0</v>
      </c>
      <c r="C88" s="52"/>
      <c r="D88" s="23" t="s">
        <v>76</v>
      </c>
      <c r="E88" s="28" t="s">
        <v>77</v>
      </c>
      <c r="F88" s="23">
        <v>1.0</v>
      </c>
      <c r="G88" s="23">
        <v>1.0</v>
      </c>
      <c r="H88" s="23">
        <v>1.0</v>
      </c>
    </row>
    <row r="89" ht="14.25" customHeight="1">
      <c r="B89" s="23">
        <v>85.0</v>
      </c>
      <c r="C89" s="52"/>
      <c r="D89" s="23" t="s">
        <v>80</v>
      </c>
      <c r="E89" s="28" t="s">
        <v>81</v>
      </c>
      <c r="F89" s="23">
        <v>1.0</v>
      </c>
      <c r="G89" s="23">
        <v>1.0</v>
      </c>
      <c r="H89" s="23">
        <v>1.0</v>
      </c>
    </row>
    <row r="90" ht="14.25" customHeight="1">
      <c r="B90" s="23">
        <v>86.0</v>
      </c>
      <c r="C90" s="52"/>
      <c r="D90" s="23" t="s">
        <v>204</v>
      </c>
      <c r="E90" s="28" t="s">
        <v>205</v>
      </c>
      <c r="F90" s="23">
        <v>1.0</v>
      </c>
      <c r="G90" s="23">
        <v>1.0</v>
      </c>
      <c r="H90" s="23">
        <v>1.0</v>
      </c>
    </row>
    <row r="91" ht="14.25" customHeight="1">
      <c r="B91" s="23">
        <v>87.0</v>
      </c>
      <c r="C91" s="52"/>
      <c r="D91" s="23" t="s">
        <v>82</v>
      </c>
      <c r="E91" s="28" t="s">
        <v>83</v>
      </c>
      <c r="F91" s="23">
        <v>1.0</v>
      </c>
      <c r="G91" s="23">
        <v>1.0</v>
      </c>
      <c r="H91" s="23">
        <v>1.0</v>
      </c>
    </row>
    <row r="92" ht="14.25" customHeight="1">
      <c r="B92" s="23">
        <v>88.0</v>
      </c>
      <c r="C92" s="52"/>
      <c r="D92" s="33" t="s">
        <v>156</v>
      </c>
      <c r="E92" s="53" t="s">
        <v>157</v>
      </c>
      <c r="F92" s="33">
        <v>1.0</v>
      </c>
      <c r="G92" s="33">
        <v>0.0</v>
      </c>
      <c r="H92" s="33">
        <v>0.0</v>
      </c>
    </row>
    <row r="93" ht="14.25" customHeight="1">
      <c r="B93" s="23">
        <v>89.0</v>
      </c>
      <c r="C93" s="52"/>
      <c r="D93" s="23" t="s">
        <v>84</v>
      </c>
      <c r="E93" s="28" t="s">
        <v>85</v>
      </c>
      <c r="F93" s="23">
        <v>1.0</v>
      </c>
      <c r="G93" s="23">
        <v>1.0</v>
      </c>
      <c r="H93" s="23">
        <v>1.0</v>
      </c>
    </row>
    <row r="94" ht="14.25" customHeight="1">
      <c r="B94" s="23">
        <v>90.0</v>
      </c>
      <c r="C94" s="52"/>
      <c r="D94" s="33" t="s">
        <v>168</v>
      </c>
      <c r="E94" s="53" t="s">
        <v>169</v>
      </c>
      <c r="F94" s="33">
        <v>1.0</v>
      </c>
      <c r="G94" s="33">
        <v>1.0</v>
      </c>
      <c r="H94" s="33">
        <v>0.0</v>
      </c>
    </row>
    <row r="95" ht="14.25" customHeight="1">
      <c r="B95" s="23">
        <v>91.0</v>
      </c>
      <c r="C95" s="52"/>
      <c r="D95" s="23" t="s">
        <v>212</v>
      </c>
      <c r="E95" s="28" t="s">
        <v>213</v>
      </c>
      <c r="F95" s="23">
        <v>1.0</v>
      </c>
      <c r="G95" s="23">
        <v>1.0</v>
      </c>
      <c r="H95" s="23">
        <v>1.0</v>
      </c>
    </row>
    <row r="96" ht="14.25" customHeight="1">
      <c r="B96" s="23">
        <v>92.0</v>
      </c>
      <c r="C96" s="52"/>
      <c r="D96" s="23" t="s">
        <v>210</v>
      </c>
      <c r="E96" s="28" t="s">
        <v>211</v>
      </c>
      <c r="F96" s="23">
        <v>1.0</v>
      </c>
      <c r="G96" s="23">
        <v>1.0</v>
      </c>
      <c r="H96" s="23">
        <v>1.0</v>
      </c>
    </row>
    <row r="97" ht="14.25" customHeight="1">
      <c r="B97" s="23">
        <v>93.0</v>
      </c>
      <c r="C97" s="52"/>
      <c r="D97" s="33" t="s">
        <v>22</v>
      </c>
      <c r="E97" s="53" t="s">
        <v>23</v>
      </c>
      <c r="F97" s="33">
        <v>1.0</v>
      </c>
      <c r="G97" s="33">
        <v>1.0</v>
      </c>
      <c r="H97" s="33">
        <v>0.0</v>
      </c>
    </row>
    <row r="98" ht="14.25" customHeight="1">
      <c r="B98" s="23">
        <v>94.0</v>
      </c>
      <c r="C98" s="52"/>
      <c r="D98" s="23" t="s">
        <v>88</v>
      </c>
      <c r="E98" s="28" t="s">
        <v>89</v>
      </c>
      <c r="F98" s="23">
        <v>1.0</v>
      </c>
      <c r="G98" s="23">
        <v>1.0</v>
      </c>
      <c r="H98" s="23">
        <v>1.0</v>
      </c>
    </row>
    <row r="99" ht="14.25" customHeight="1">
      <c r="B99" s="23">
        <v>95.0</v>
      </c>
      <c r="C99" s="52"/>
      <c r="D99" s="23" t="s">
        <v>86</v>
      </c>
      <c r="E99" s="28" t="s">
        <v>87</v>
      </c>
      <c r="F99" s="23">
        <v>1.0</v>
      </c>
      <c r="G99" s="23">
        <v>1.0</v>
      </c>
      <c r="H99" s="23">
        <v>1.0</v>
      </c>
    </row>
    <row r="100" ht="14.25" customHeight="1">
      <c r="B100" s="23">
        <v>96.0</v>
      </c>
      <c r="C100" s="52"/>
      <c r="D100" s="23" t="s">
        <v>226</v>
      </c>
      <c r="E100" s="28" t="s">
        <v>227</v>
      </c>
      <c r="F100" s="23">
        <v>1.0</v>
      </c>
      <c r="G100" s="23">
        <v>1.0</v>
      </c>
      <c r="H100" s="23">
        <v>1.0</v>
      </c>
    </row>
    <row r="101" ht="14.25" customHeight="1">
      <c r="B101" s="23">
        <v>97.0</v>
      </c>
      <c r="C101" s="52"/>
      <c r="D101" s="23" t="s">
        <v>90</v>
      </c>
      <c r="E101" s="28" t="s">
        <v>91</v>
      </c>
      <c r="F101" s="23">
        <v>1.0</v>
      </c>
      <c r="G101" s="23">
        <v>1.0</v>
      </c>
      <c r="H101" s="23">
        <v>1.0</v>
      </c>
    </row>
    <row r="102" ht="14.25" customHeight="1">
      <c r="B102" s="23">
        <v>98.0</v>
      </c>
      <c r="C102" s="52"/>
      <c r="D102" s="23" t="s">
        <v>92</v>
      </c>
      <c r="E102" s="28" t="s">
        <v>93</v>
      </c>
      <c r="F102" s="23">
        <v>1.0</v>
      </c>
      <c r="G102" s="23">
        <v>1.0</v>
      </c>
      <c r="H102" s="23">
        <v>1.0</v>
      </c>
    </row>
    <row r="103" ht="14.25" customHeight="1">
      <c r="B103" s="23">
        <v>99.0</v>
      </c>
      <c r="C103" s="52"/>
      <c r="D103" s="33" t="s">
        <v>220</v>
      </c>
      <c r="E103" s="53" t="s">
        <v>221</v>
      </c>
      <c r="F103" s="33">
        <v>0.0</v>
      </c>
      <c r="G103" s="33">
        <v>1.0</v>
      </c>
      <c r="H103" s="33">
        <v>1.0</v>
      </c>
    </row>
    <row r="104" ht="14.25" customHeight="1">
      <c r="B104" s="23">
        <v>100.0</v>
      </c>
      <c r="C104" s="52"/>
      <c r="D104" s="33" t="s">
        <v>256</v>
      </c>
      <c r="E104" s="53" t="s">
        <v>257</v>
      </c>
      <c r="F104" s="33">
        <v>0.0</v>
      </c>
      <c r="G104" s="33">
        <v>0.0</v>
      </c>
      <c r="H104" s="33">
        <v>0.0</v>
      </c>
    </row>
    <row r="105" ht="14.25" customHeight="1">
      <c r="B105" s="23">
        <v>101.0</v>
      </c>
      <c r="C105" s="52"/>
      <c r="D105" s="23" t="s">
        <v>94</v>
      </c>
      <c r="E105" s="28" t="s">
        <v>95</v>
      </c>
      <c r="F105" s="23">
        <v>1.0</v>
      </c>
      <c r="G105" s="23">
        <v>1.0</v>
      </c>
      <c r="H105" s="23">
        <v>1.0</v>
      </c>
    </row>
    <row r="106" ht="14.25" customHeight="1">
      <c r="B106" s="23">
        <v>102.0</v>
      </c>
      <c r="C106" s="52"/>
      <c r="D106" s="23" t="s">
        <v>144</v>
      </c>
      <c r="E106" s="28" t="s">
        <v>145</v>
      </c>
      <c r="F106" s="23">
        <v>1.0</v>
      </c>
      <c r="G106" s="23">
        <v>1.0</v>
      </c>
      <c r="H106" s="23">
        <v>1.0</v>
      </c>
    </row>
    <row r="107" ht="14.25" customHeight="1">
      <c r="B107" s="23">
        <v>103.0</v>
      </c>
      <c r="C107" s="52"/>
      <c r="D107" s="33" t="s">
        <v>258</v>
      </c>
      <c r="E107" s="53" t="s">
        <v>259</v>
      </c>
      <c r="F107" s="33">
        <v>0.0</v>
      </c>
      <c r="G107" s="33">
        <v>0.0</v>
      </c>
      <c r="H107" s="33">
        <v>0.0</v>
      </c>
    </row>
    <row r="108" ht="14.25" customHeight="1">
      <c r="B108" s="23">
        <v>104.0</v>
      </c>
      <c r="C108" s="46"/>
      <c r="D108" s="33" t="s">
        <v>260</v>
      </c>
      <c r="E108" s="53" t="s">
        <v>261</v>
      </c>
      <c r="F108" s="33">
        <v>0.0</v>
      </c>
      <c r="G108" s="33">
        <v>0.0</v>
      </c>
      <c r="H108" s="33">
        <v>0.0</v>
      </c>
    </row>
    <row r="109" ht="14.25" customHeight="1">
      <c r="B109" s="54"/>
    </row>
    <row r="110" ht="14.25" customHeight="1">
      <c r="B110" s="54"/>
      <c r="C110" s="36" t="s">
        <v>262</v>
      </c>
      <c r="D110" s="55"/>
      <c r="E110" s="36" t="s">
        <v>270</v>
      </c>
      <c r="F110" s="54"/>
      <c r="G110" s="54"/>
    </row>
    <row r="111" ht="14.25" customHeight="1">
      <c r="B111" s="54"/>
    </row>
    <row r="112" ht="14.25" customHeight="1">
      <c r="B112" s="54"/>
      <c r="C112" s="56"/>
      <c r="D112" s="39" t="s">
        <v>264</v>
      </c>
      <c r="E112" s="40"/>
      <c r="F112" s="29" t="s">
        <v>13</v>
      </c>
    </row>
    <row r="113" ht="14.25" customHeight="1">
      <c r="B113" s="54"/>
      <c r="C113" s="57"/>
      <c r="D113" s="41" t="s">
        <v>265</v>
      </c>
      <c r="E113" s="42"/>
      <c r="F113" s="43">
        <v>123.0</v>
      </c>
    </row>
    <row r="114" ht="32.25" customHeight="1">
      <c r="B114" s="54"/>
      <c r="C114" s="57"/>
      <c r="D114" s="44"/>
      <c r="E114" s="45"/>
      <c r="F114" s="46"/>
    </row>
    <row r="115" ht="14.25" customHeight="1">
      <c r="B115" s="54"/>
      <c r="C115" s="57"/>
      <c r="D115" s="41" t="s">
        <v>266</v>
      </c>
      <c r="E115" s="42"/>
      <c r="F115" s="43" t="str">
        <f>F113-104</f>
        <v>19</v>
      </c>
    </row>
    <row r="116" ht="37.5" customHeight="1">
      <c r="C116" s="57"/>
      <c r="D116" s="44"/>
      <c r="E116" s="45"/>
      <c r="F116" s="46"/>
    </row>
    <row r="117" ht="36.0" customHeight="1">
      <c r="C117" s="58"/>
      <c r="D117" s="59" t="s">
        <v>271</v>
      </c>
      <c r="E117" s="40"/>
      <c r="F117" s="60" t="str">
        <f>32</f>
        <v>32</v>
      </c>
    </row>
    <row r="118" ht="14.25" customHeight="1">
      <c r="C118" s="61"/>
      <c r="D118" s="47" t="s">
        <v>272</v>
      </c>
      <c r="E118" s="42"/>
      <c r="F118" s="62" t="str">
        <f>F113-F115-F117</f>
        <v>72</v>
      </c>
    </row>
    <row r="119" ht="34.5" customHeight="1">
      <c r="C119" s="61"/>
      <c r="D119" s="44"/>
      <c r="E119" s="45"/>
      <c r="F119" s="46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</sheetData>
  <mergeCells count="11">
    <mergeCell ref="D112:E112"/>
    <mergeCell ref="D113:E114"/>
    <mergeCell ref="F113:F114"/>
    <mergeCell ref="F115:F116"/>
    <mergeCell ref="D115:E116"/>
    <mergeCell ref="D117:E117"/>
    <mergeCell ref="D118:E119"/>
    <mergeCell ref="F118:F119"/>
    <mergeCell ref="B1:H1"/>
    <mergeCell ref="B2:H2"/>
    <mergeCell ref="C5:C10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14"/>
    <col customWidth="1" min="3" max="3" width="19.57"/>
    <col customWidth="1" min="4" max="4" width="13.14"/>
    <col customWidth="1" min="5" max="5" width="32.43"/>
    <col customWidth="1" min="6" max="8" width="8.71"/>
    <col customWidth="1" min="9" max="9" width="68.86"/>
    <col customWidth="1" min="10" max="10" width="8.71"/>
    <col customWidth="1" min="11" max="11" width="22.43"/>
    <col customWidth="1" min="12" max="14" width="8.71"/>
  </cols>
  <sheetData>
    <row r="1" ht="14.25" customHeight="1">
      <c r="B1" s="63" t="s">
        <v>273</v>
      </c>
    </row>
    <row r="2" ht="14.25" customHeight="1">
      <c r="B2" s="63" t="s">
        <v>274</v>
      </c>
    </row>
    <row r="3" ht="14.25" customHeight="1">
      <c r="D3" s="38"/>
      <c r="E3" s="38"/>
    </row>
    <row r="4" ht="14.25" customHeight="1">
      <c r="B4" s="64" t="s">
        <v>9</v>
      </c>
      <c r="C4" s="64" t="s">
        <v>10</v>
      </c>
      <c r="D4" s="65" t="s">
        <v>11</v>
      </c>
      <c r="E4" s="65" t="s">
        <v>12</v>
      </c>
      <c r="F4" s="64">
        <v>2022.0</v>
      </c>
      <c r="G4" s="64">
        <v>2023.0</v>
      </c>
      <c r="H4" s="64">
        <v>2024.0</v>
      </c>
      <c r="I4" s="66" t="s">
        <v>275</v>
      </c>
      <c r="K4" s="67" t="s">
        <v>10</v>
      </c>
      <c r="L4" s="67" t="s">
        <v>13</v>
      </c>
    </row>
    <row r="5" ht="14.25" customHeight="1">
      <c r="B5" s="67">
        <v>1.0</v>
      </c>
      <c r="C5" s="68" t="s">
        <v>14</v>
      </c>
      <c r="D5" s="69" t="s">
        <v>15</v>
      </c>
      <c r="E5" s="69" t="s">
        <v>16</v>
      </c>
      <c r="F5" s="70">
        <v>1.0</v>
      </c>
      <c r="G5" s="70">
        <v>1.0</v>
      </c>
      <c r="H5" s="70">
        <v>1.0</v>
      </c>
      <c r="I5" s="28"/>
      <c r="K5" s="71" t="s">
        <v>17</v>
      </c>
      <c r="L5" s="72" t="str">
        <f>E87</f>
        <v>54</v>
      </c>
    </row>
    <row r="6" ht="14.25" customHeight="1">
      <c r="B6" s="67">
        <v>2.0</v>
      </c>
      <c r="C6" s="52"/>
      <c r="D6" s="69" t="s">
        <v>98</v>
      </c>
      <c r="E6" s="69" t="s">
        <v>99</v>
      </c>
      <c r="F6" s="70">
        <v>1.0</v>
      </c>
      <c r="G6" s="70">
        <v>1.0</v>
      </c>
      <c r="H6" s="70">
        <v>1.0</v>
      </c>
      <c r="I6" s="28"/>
    </row>
    <row r="7" ht="14.25" customHeight="1">
      <c r="B7" s="67">
        <v>3.0</v>
      </c>
      <c r="C7" s="52"/>
      <c r="D7" s="69" t="s">
        <v>78</v>
      </c>
      <c r="E7" s="69" t="s">
        <v>79</v>
      </c>
      <c r="F7" s="70">
        <v>1.0</v>
      </c>
      <c r="G7" s="70">
        <v>1.0</v>
      </c>
      <c r="H7" s="70">
        <v>1.0</v>
      </c>
      <c r="I7" s="28"/>
    </row>
    <row r="8" ht="14.25" customHeight="1">
      <c r="B8" s="67">
        <v>4.0</v>
      </c>
      <c r="C8" s="52"/>
      <c r="D8" s="69" t="s">
        <v>104</v>
      </c>
      <c r="E8" s="69" t="s">
        <v>105</v>
      </c>
      <c r="F8" s="23">
        <v>1.0</v>
      </c>
      <c r="G8" s="23">
        <v>1.0</v>
      </c>
      <c r="H8" s="23">
        <v>1.0</v>
      </c>
      <c r="I8" s="28"/>
    </row>
    <row r="9" ht="14.25" customHeight="1">
      <c r="B9" s="67">
        <v>5.0</v>
      </c>
      <c r="C9" s="52"/>
      <c r="D9" s="73" t="s">
        <v>158</v>
      </c>
      <c r="E9" s="73" t="s">
        <v>159</v>
      </c>
      <c r="F9" s="74">
        <v>0.0</v>
      </c>
      <c r="G9" s="74">
        <v>1.0</v>
      </c>
      <c r="H9" s="74">
        <v>1.0</v>
      </c>
      <c r="I9" s="75" t="s">
        <v>276</v>
      </c>
      <c r="J9" s="76"/>
      <c r="K9" s="36"/>
      <c r="L9" s="54"/>
      <c r="M9" s="54"/>
      <c r="N9" s="54"/>
    </row>
    <row r="10" ht="14.25" customHeight="1">
      <c r="B10" s="67">
        <v>6.0</v>
      </c>
      <c r="C10" s="52"/>
      <c r="D10" s="69" t="s">
        <v>18</v>
      </c>
      <c r="E10" s="69" t="s">
        <v>19</v>
      </c>
      <c r="F10" s="70">
        <v>1.0</v>
      </c>
      <c r="G10" s="70">
        <v>1.0</v>
      </c>
      <c r="H10" s="70">
        <v>1.0</v>
      </c>
      <c r="I10" s="77"/>
      <c r="J10" s="76"/>
      <c r="K10" s="36"/>
      <c r="L10" s="54"/>
      <c r="M10" s="54"/>
      <c r="N10" s="54"/>
    </row>
    <row r="11" ht="14.25" customHeight="1">
      <c r="B11" s="67">
        <v>7.0</v>
      </c>
      <c r="C11" s="52"/>
      <c r="D11" s="73" t="s">
        <v>138</v>
      </c>
      <c r="E11" s="73" t="s">
        <v>139</v>
      </c>
      <c r="F11" s="74">
        <v>0.0</v>
      </c>
      <c r="G11" s="74">
        <v>0.0</v>
      </c>
      <c r="H11" s="74">
        <v>0.0</v>
      </c>
      <c r="I11" s="75" t="s">
        <v>277</v>
      </c>
      <c r="J11" s="76"/>
      <c r="K11" s="36"/>
      <c r="L11" s="54"/>
      <c r="M11" s="54"/>
      <c r="N11" s="54"/>
    </row>
    <row r="12" ht="14.25" customHeight="1">
      <c r="B12" s="67">
        <v>8.0</v>
      </c>
      <c r="C12" s="52"/>
      <c r="D12" s="73" t="s">
        <v>198</v>
      </c>
      <c r="E12" s="73" t="s">
        <v>199</v>
      </c>
      <c r="F12" s="74">
        <v>0.0</v>
      </c>
      <c r="G12" s="74">
        <v>0.0</v>
      </c>
      <c r="H12" s="74">
        <v>0.0</v>
      </c>
      <c r="I12" s="75" t="s">
        <v>278</v>
      </c>
      <c r="J12" s="78"/>
    </row>
    <row r="13" ht="14.25" customHeight="1">
      <c r="B13" s="67">
        <v>9.0</v>
      </c>
      <c r="C13" s="52"/>
      <c r="D13" s="73" t="s">
        <v>20</v>
      </c>
      <c r="E13" s="73" t="s">
        <v>21</v>
      </c>
      <c r="F13" s="79">
        <v>0.0</v>
      </c>
      <c r="G13" s="79">
        <v>1.0</v>
      </c>
      <c r="H13" s="74">
        <v>1.0</v>
      </c>
      <c r="I13" s="53" t="s">
        <v>279</v>
      </c>
    </row>
    <row r="14" ht="14.25" customHeight="1">
      <c r="B14" s="67">
        <v>10.0</v>
      </c>
      <c r="C14" s="52"/>
      <c r="D14" s="69" t="s">
        <v>108</v>
      </c>
      <c r="E14" s="69" t="s">
        <v>109</v>
      </c>
      <c r="F14" s="67">
        <v>1.0</v>
      </c>
      <c r="G14" s="67">
        <v>1.0</v>
      </c>
      <c r="H14" s="67">
        <v>1.0</v>
      </c>
      <c r="I14" s="28"/>
    </row>
    <row r="15" ht="14.25" customHeight="1">
      <c r="B15" s="67">
        <v>11.0</v>
      </c>
      <c r="C15" s="52"/>
      <c r="D15" s="73" t="s">
        <v>112</v>
      </c>
      <c r="E15" s="73" t="s">
        <v>113</v>
      </c>
      <c r="F15" s="74">
        <v>0.0</v>
      </c>
      <c r="G15" s="74">
        <v>0.0</v>
      </c>
      <c r="H15" s="74">
        <v>0.0</v>
      </c>
      <c r="I15" s="53" t="s">
        <v>280</v>
      </c>
    </row>
    <row r="16" ht="14.25" customHeight="1">
      <c r="B16" s="67">
        <v>12.0</v>
      </c>
      <c r="C16" s="52"/>
      <c r="D16" s="69" t="s">
        <v>222</v>
      </c>
      <c r="E16" s="69" t="s">
        <v>223</v>
      </c>
      <c r="F16" s="67">
        <v>1.0</v>
      </c>
      <c r="G16" s="67">
        <v>1.0</v>
      </c>
      <c r="H16" s="67">
        <v>1.0</v>
      </c>
      <c r="I16" s="28"/>
    </row>
    <row r="17" ht="14.25" customHeight="1">
      <c r="B17" s="67">
        <v>13.0</v>
      </c>
      <c r="C17" s="52"/>
      <c r="D17" s="69" t="s">
        <v>74</v>
      </c>
      <c r="E17" s="69" t="s">
        <v>75</v>
      </c>
      <c r="F17" s="67">
        <v>1.0</v>
      </c>
      <c r="G17" s="67">
        <v>1.0</v>
      </c>
      <c r="H17" s="67">
        <v>1.0</v>
      </c>
      <c r="I17" s="28"/>
    </row>
    <row r="18" ht="14.25" customHeight="1">
      <c r="B18" s="67">
        <v>14.0</v>
      </c>
      <c r="C18" s="52"/>
      <c r="D18" s="69" t="s">
        <v>28</v>
      </c>
      <c r="E18" s="69" t="s">
        <v>29</v>
      </c>
      <c r="F18" s="67">
        <v>1.0</v>
      </c>
      <c r="G18" s="67">
        <v>1.0</v>
      </c>
      <c r="H18" s="67">
        <v>1.0</v>
      </c>
      <c r="I18" s="28"/>
    </row>
    <row r="19" ht="14.25" customHeight="1">
      <c r="B19" s="67">
        <v>15.0</v>
      </c>
      <c r="C19" s="52"/>
      <c r="D19" s="69" t="s">
        <v>24</v>
      </c>
      <c r="E19" s="69" t="s">
        <v>25</v>
      </c>
      <c r="F19" s="67">
        <v>1.0</v>
      </c>
      <c r="G19" s="67">
        <v>1.0</v>
      </c>
      <c r="H19" s="67">
        <v>1.0</v>
      </c>
      <c r="I19" s="28"/>
    </row>
    <row r="20" ht="14.25" customHeight="1">
      <c r="B20" s="67">
        <v>16.0</v>
      </c>
      <c r="C20" s="52"/>
      <c r="D20" s="69" t="s">
        <v>110</v>
      </c>
      <c r="E20" s="69" t="s">
        <v>111</v>
      </c>
      <c r="F20" s="67">
        <v>1.0</v>
      </c>
      <c r="G20" s="67">
        <v>1.0</v>
      </c>
      <c r="H20" s="67">
        <v>1.0</v>
      </c>
      <c r="I20" s="28"/>
    </row>
    <row r="21" ht="14.25" customHeight="1">
      <c r="B21" s="67">
        <v>17.0</v>
      </c>
      <c r="C21" s="52"/>
      <c r="D21" s="73" t="s">
        <v>214</v>
      </c>
      <c r="E21" s="73" t="s">
        <v>215</v>
      </c>
      <c r="F21" s="74">
        <v>0.0</v>
      </c>
      <c r="G21" s="74">
        <v>0.0</v>
      </c>
      <c r="H21" s="74">
        <v>0.0</v>
      </c>
      <c r="I21" s="53" t="s">
        <v>281</v>
      </c>
    </row>
    <row r="22" ht="14.25" customHeight="1">
      <c r="B22" s="67">
        <v>18.0</v>
      </c>
      <c r="C22" s="52"/>
      <c r="D22" s="69" t="s">
        <v>26</v>
      </c>
      <c r="E22" s="69" t="s">
        <v>27</v>
      </c>
      <c r="F22" s="67">
        <v>1.0</v>
      </c>
      <c r="G22" s="67">
        <v>1.0</v>
      </c>
      <c r="H22" s="67">
        <v>1.0</v>
      </c>
      <c r="I22" s="28"/>
    </row>
    <row r="23" ht="14.25" customHeight="1">
      <c r="B23" s="67">
        <v>19.0</v>
      </c>
      <c r="C23" s="52"/>
      <c r="D23" s="73" t="s">
        <v>114</v>
      </c>
      <c r="E23" s="73" t="s">
        <v>115</v>
      </c>
      <c r="F23" s="79">
        <v>0.0</v>
      </c>
      <c r="G23" s="79">
        <v>1.0</v>
      </c>
      <c r="H23" s="79">
        <v>1.0</v>
      </c>
      <c r="I23" s="53" t="s">
        <v>282</v>
      </c>
    </row>
    <row r="24" ht="14.25" customHeight="1">
      <c r="B24" s="67">
        <v>20.0</v>
      </c>
      <c r="C24" s="52"/>
      <c r="D24" s="69" t="s">
        <v>30</v>
      </c>
      <c r="E24" s="69" t="s">
        <v>31</v>
      </c>
      <c r="F24" s="67">
        <v>1.0</v>
      </c>
      <c r="G24" s="67">
        <v>1.0</v>
      </c>
      <c r="H24" s="67">
        <v>1.0</v>
      </c>
      <c r="I24" s="28"/>
    </row>
    <row r="25" ht="14.25" customHeight="1">
      <c r="B25" s="67">
        <v>21.0</v>
      </c>
      <c r="C25" s="52"/>
      <c r="D25" s="69" t="s">
        <v>120</v>
      </c>
      <c r="E25" s="69" t="s">
        <v>121</v>
      </c>
      <c r="F25" s="67">
        <v>1.0</v>
      </c>
      <c r="G25" s="67">
        <v>1.0</v>
      </c>
      <c r="H25" s="67">
        <v>1.0</v>
      </c>
      <c r="I25" s="28"/>
    </row>
    <row r="26" ht="14.25" customHeight="1">
      <c r="B26" s="67">
        <v>22.0</v>
      </c>
      <c r="C26" s="52"/>
      <c r="D26" s="69" t="s">
        <v>118</v>
      </c>
      <c r="E26" s="69" t="s">
        <v>119</v>
      </c>
      <c r="F26" s="67">
        <v>1.0</v>
      </c>
      <c r="G26" s="67">
        <v>1.0</v>
      </c>
      <c r="H26" s="67">
        <v>1.0</v>
      </c>
      <c r="I26" s="28"/>
    </row>
    <row r="27" ht="14.25" customHeight="1">
      <c r="B27" s="67">
        <v>23.0</v>
      </c>
      <c r="C27" s="52"/>
      <c r="D27" s="69" t="s">
        <v>32</v>
      </c>
      <c r="E27" s="69" t="s">
        <v>33</v>
      </c>
      <c r="F27" s="67">
        <v>1.0</v>
      </c>
      <c r="G27" s="67">
        <v>1.0</v>
      </c>
      <c r="H27" s="67">
        <v>1.0</v>
      </c>
      <c r="I27" s="28"/>
    </row>
    <row r="28" ht="14.25" customHeight="1">
      <c r="B28" s="67">
        <v>24.0</v>
      </c>
      <c r="C28" s="52"/>
      <c r="D28" s="69" t="s">
        <v>126</v>
      </c>
      <c r="E28" s="69" t="s">
        <v>127</v>
      </c>
      <c r="F28" s="67">
        <v>1.0</v>
      </c>
      <c r="G28" s="67">
        <v>1.0</v>
      </c>
      <c r="H28" s="67">
        <v>1.0</v>
      </c>
      <c r="I28" s="28"/>
    </row>
    <row r="29" ht="14.25" customHeight="1">
      <c r="B29" s="67">
        <v>25.0</v>
      </c>
      <c r="C29" s="52"/>
      <c r="D29" s="69" t="s">
        <v>134</v>
      </c>
      <c r="E29" s="69" t="s">
        <v>135</v>
      </c>
      <c r="F29" s="67">
        <v>1.0</v>
      </c>
      <c r="G29" s="67">
        <v>1.0</v>
      </c>
      <c r="H29" s="67">
        <v>1.0</v>
      </c>
      <c r="I29" s="28"/>
    </row>
    <row r="30" ht="14.25" customHeight="1">
      <c r="B30" s="67">
        <v>26.0</v>
      </c>
      <c r="C30" s="52"/>
      <c r="D30" s="69" t="s">
        <v>234</v>
      </c>
      <c r="E30" s="69" t="s">
        <v>235</v>
      </c>
      <c r="F30" s="67">
        <v>1.0</v>
      </c>
      <c r="G30" s="67">
        <v>1.0</v>
      </c>
      <c r="H30" s="67">
        <v>1.0</v>
      </c>
      <c r="I30" s="28"/>
    </row>
    <row r="31" ht="14.25" customHeight="1">
      <c r="B31" s="67">
        <v>27.0</v>
      </c>
      <c r="C31" s="52"/>
      <c r="D31" s="69" t="s">
        <v>40</v>
      </c>
      <c r="E31" s="69" t="s">
        <v>41</v>
      </c>
      <c r="F31" s="67">
        <v>1.0</v>
      </c>
      <c r="G31" s="67">
        <v>1.0</v>
      </c>
      <c r="H31" s="67">
        <v>1.0</v>
      </c>
      <c r="I31" s="28"/>
    </row>
    <row r="32" ht="14.25" customHeight="1">
      <c r="B32" s="67">
        <v>28.0</v>
      </c>
      <c r="C32" s="52"/>
      <c r="D32" s="69" t="s">
        <v>38</v>
      </c>
      <c r="E32" s="69" t="s">
        <v>39</v>
      </c>
      <c r="F32" s="67">
        <v>1.0</v>
      </c>
      <c r="G32" s="67">
        <v>1.0</v>
      </c>
      <c r="H32" s="67">
        <v>1.0</v>
      </c>
      <c r="I32" s="28"/>
    </row>
    <row r="33" ht="14.25" customHeight="1">
      <c r="B33" s="67">
        <v>29.0</v>
      </c>
      <c r="C33" s="52"/>
      <c r="D33" s="73" t="s">
        <v>100</v>
      </c>
      <c r="E33" s="73" t="s">
        <v>101</v>
      </c>
      <c r="F33" s="74">
        <v>0.0</v>
      </c>
      <c r="G33" s="74">
        <v>0.0</v>
      </c>
      <c r="H33" s="74">
        <v>0.0</v>
      </c>
      <c r="I33" s="53" t="s">
        <v>283</v>
      </c>
    </row>
    <row r="34" ht="14.25" customHeight="1">
      <c r="B34" s="67">
        <v>30.0</v>
      </c>
      <c r="C34" s="52"/>
      <c r="D34" s="69" t="s">
        <v>140</v>
      </c>
      <c r="E34" s="69" t="s">
        <v>141</v>
      </c>
      <c r="F34" s="67">
        <v>1.0</v>
      </c>
      <c r="G34" s="67">
        <v>1.0</v>
      </c>
      <c r="H34" s="67">
        <v>1.0</v>
      </c>
      <c r="I34" s="28"/>
    </row>
    <row r="35" ht="14.25" customHeight="1">
      <c r="B35" s="67">
        <v>31.0</v>
      </c>
      <c r="C35" s="52"/>
      <c r="D35" s="69" t="s">
        <v>42</v>
      </c>
      <c r="E35" s="69" t="s">
        <v>43</v>
      </c>
      <c r="F35" s="67">
        <v>1.0</v>
      </c>
      <c r="G35" s="67">
        <v>1.0</v>
      </c>
      <c r="H35" s="67">
        <v>1.0</v>
      </c>
      <c r="I35" s="28"/>
    </row>
    <row r="36" ht="14.25" customHeight="1">
      <c r="B36" s="67">
        <v>32.0</v>
      </c>
      <c r="C36" s="52"/>
      <c r="D36" s="69" t="s">
        <v>44</v>
      </c>
      <c r="E36" s="69" t="s">
        <v>45</v>
      </c>
      <c r="F36" s="67">
        <v>1.0</v>
      </c>
      <c r="G36" s="67">
        <v>1.0</v>
      </c>
      <c r="H36" s="67">
        <v>1.0</v>
      </c>
      <c r="I36" s="28"/>
    </row>
    <row r="37" ht="14.25" customHeight="1">
      <c r="B37" s="67">
        <v>33.0</v>
      </c>
      <c r="C37" s="52"/>
      <c r="D37" s="73" t="s">
        <v>128</v>
      </c>
      <c r="E37" s="73" t="s">
        <v>129</v>
      </c>
      <c r="F37" s="74">
        <v>0.0</v>
      </c>
      <c r="G37" s="74">
        <v>0.0</v>
      </c>
      <c r="H37" s="74">
        <v>0.0</v>
      </c>
      <c r="I37" s="53" t="s">
        <v>284</v>
      </c>
    </row>
    <row r="38" ht="14.25" customHeight="1">
      <c r="B38" s="67">
        <v>34.0</v>
      </c>
      <c r="C38" s="52"/>
      <c r="D38" s="69" t="s">
        <v>46</v>
      </c>
      <c r="E38" s="69" t="s">
        <v>47</v>
      </c>
      <c r="F38" s="67">
        <v>1.0</v>
      </c>
      <c r="G38" s="67">
        <v>1.0</v>
      </c>
      <c r="H38" s="67">
        <v>1.0</v>
      </c>
      <c r="I38" s="28"/>
    </row>
    <row r="39" ht="14.25" customHeight="1">
      <c r="B39" s="67">
        <v>35.0</v>
      </c>
      <c r="C39" s="52"/>
      <c r="D39" s="69" t="s">
        <v>150</v>
      </c>
      <c r="E39" s="69" t="s">
        <v>151</v>
      </c>
      <c r="F39" s="67">
        <v>1.0</v>
      </c>
      <c r="G39" s="67">
        <v>1.0</v>
      </c>
      <c r="H39" s="67">
        <v>1.0</v>
      </c>
      <c r="I39" s="28"/>
    </row>
    <row r="40" ht="14.25" customHeight="1">
      <c r="B40" s="67">
        <v>36.0</v>
      </c>
      <c r="C40" s="52"/>
      <c r="D40" s="73" t="s">
        <v>50</v>
      </c>
      <c r="E40" s="73" t="s">
        <v>51</v>
      </c>
      <c r="F40" s="74">
        <v>0.0</v>
      </c>
      <c r="G40" s="74">
        <v>0.0</v>
      </c>
      <c r="H40" s="74">
        <v>0.0</v>
      </c>
      <c r="I40" s="53" t="s">
        <v>278</v>
      </c>
    </row>
    <row r="41" ht="14.25" customHeight="1">
      <c r="B41" s="67">
        <v>37.0</v>
      </c>
      <c r="C41" s="52"/>
      <c r="D41" s="69" t="s">
        <v>48</v>
      </c>
      <c r="E41" s="69" t="s">
        <v>49</v>
      </c>
      <c r="F41" s="67">
        <v>1.0</v>
      </c>
      <c r="G41" s="67">
        <v>1.0</v>
      </c>
      <c r="H41" s="67">
        <v>1.0</v>
      </c>
      <c r="I41" s="28"/>
    </row>
    <row r="42" ht="14.25" customHeight="1">
      <c r="B42" s="67">
        <v>38.0</v>
      </c>
      <c r="C42" s="52"/>
      <c r="D42" s="69" t="s">
        <v>178</v>
      </c>
      <c r="E42" s="69" t="s">
        <v>179</v>
      </c>
      <c r="F42" s="67">
        <v>1.0</v>
      </c>
      <c r="G42" s="67">
        <v>1.0</v>
      </c>
      <c r="H42" s="67">
        <v>1.0</v>
      </c>
      <c r="I42" s="28"/>
    </row>
    <row r="43" ht="14.25" customHeight="1">
      <c r="B43" s="67">
        <v>39.0</v>
      </c>
      <c r="C43" s="52"/>
      <c r="D43" s="69" t="s">
        <v>162</v>
      </c>
      <c r="E43" s="69" t="s">
        <v>163</v>
      </c>
      <c r="F43" s="67">
        <v>1.0</v>
      </c>
      <c r="G43" s="67">
        <v>1.0</v>
      </c>
      <c r="H43" s="67">
        <v>1.0</v>
      </c>
      <c r="I43" s="28"/>
    </row>
    <row r="44" ht="14.25" customHeight="1">
      <c r="B44" s="67">
        <v>40.0</v>
      </c>
      <c r="C44" s="52"/>
      <c r="D44" s="69" t="s">
        <v>68</v>
      </c>
      <c r="E44" s="69" t="s">
        <v>69</v>
      </c>
      <c r="F44" s="67">
        <v>1.0</v>
      </c>
      <c r="G44" s="67">
        <v>1.0</v>
      </c>
      <c r="H44" s="67">
        <v>1.0</v>
      </c>
      <c r="I44" s="28"/>
    </row>
    <row r="45" ht="14.25" customHeight="1">
      <c r="B45" s="67">
        <v>41.0</v>
      </c>
      <c r="C45" s="52"/>
      <c r="D45" s="69" t="s">
        <v>52</v>
      </c>
      <c r="E45" s="69" t="s">
        <v>53</v>
      </c>
      <c r="F45" s="67">
        <v>1.0</v>
      </c>
      <c r="G45" s="67">
        <v>1.0</v>
      </c>
      <c r="H45" s="67">
        <v>1.0</v>
      </c>
      <c r="I45" s="28"/>
    </row>
    <row r="46" ht="14.25" customHeight="1">
      <c r="B46" s="67">
        <v>42.0</v>
      </c>
      <c r="C46" s="52"/>
      <c r="D46" s="69" t="s">
        <v>58</v>
      </c>
      <c r="E46" s="69" t="s">
        <v>59</v>
      </c>
      <c r="F46" s="67">
        <v>1.0</v>
      </c>
      <c r="G46" s="67">
        <v>1.0</v>
      </c>
      <c r="H46" s="67">
        <v>1.0</v>
      </c>
      <c r="I46" s="28"/>
    </row>
    <row r="47" ht="14.25" customHeight="1">
      <c r="B47" s="67">
        <v>43.0</v>
      </c>
      <c r="C47" s="52"/>
      <c r="D47" s="73" t="s">
        <v>56</v>
      </c>
      <c r="E47" s="73" t="s">
        <v>57</v>
      </c>
      <c r="F47" s="74">
        <v>0.0</v>
      </c>
      <c r="G47" s="74">
        <v>0.0</v>
      </c>
      <c r="H47" s="74">
        <v>0.0</v>
      </c>
      <c r="I47" s="53" t="s">
        <v>285</v>
      </c>
    </row>
    <row r="48" ht="14.25" customHeight="1">
      <c r="B48" s="67">
        <v>44.0</v>
      </c>
      <c r="C48" s="52"/>
      <c r="D48" s="69" t="s">
        <v>60</v>
      </c>
      <c r="E48" s="69" t="s">
        <v>61</v>
      </c>
      <c r="F48" s="67">
        <v>1.0</v>
      </c>
      <c r="G48" s="67">
        <v>1.0</v>
      </c>
      <c r="H48" s="67">
        <v>1.0</v>
      </c>
      <c r="I48" s="28"/>
    </row>
    <row r="49" ht="14.25" customHeight="1">
      <c r="B49" s="67">
        <v>45.0</v>
      </c>
      <c r="C49" s="52"/>
      <c r="D49" s="69" t="s">
        <v>62</v>
      </c>
      <c r="E49" s="69" t="s">
        <v>63</v>
      </c>
      <c r="F49" s="67">
        <v>0.0</v>
      </c>
      <c r="G49" s="67">
        <v>1.0</v>
      </c>
      <c r="H49" s="67">
        <v>1.0</v>
      </c>
      <c r="I49" s="28"/>
    </row>
    <row r="50" ht="14.25" customHeight="1">
      <c r="B50" s="67">
        <v>46.0</v>
      </c>
      <c r="C50" s="52"/>
      <c r="D50" s="69" t="s">
        <v>54</v>
      </c>
      <c r="E50" s="69" t="s">
        <v>55</v>
      </c>
      <c r="F50" s="67">
        <v>1.0</v>
      </c>
      <c r="G50" s="67">
        <v>1.0</v>
      </c>
      <c r="H50" s="67">
        <v>1.0</v>
      </c>
      <c r="I50" s="28"/>
    </row>
    <row r="51" ht="14.25" customHeight="1">
      <c r="B51" s="67">
        <v>47.0</v>
      </c>
      <c r="C51" s="52"/>
      <c r="D51" s="73" t="s">
        <v>218</v>
      </c>
      <c r="E51" s="73" t="s">
        <v>219</v>
      </c>
      <c r="F51" s="74">
        <v>0.0</v>
      </c>
      <c r="G51" s="74">
        <v>0.0</v>
      </c>
      <c r="H51" s="74">
        <v>0.0</v>
      </c>
      <c r="I51" s="53" t="s">
        <v>286</v>
      </c>
    </row>
    <row r="52" ht="14.25" customHeight="1">
      <c r="B52" s="67">
        <v>48.0</v>
      </c>
      <c r="C52" s="52"/>
      <c r="D52" s="73" t="s">
        <v>186</v>
      </c>
      <c r="E52" s="73" t="s">
        <v>187</v>
      </c>
      <c r="F52" s="74">
        <v>0.0</v>
      </c>
      <c r="G52" s="74">
        <v>0.0</v>
      </c>
      <c r="H52" s="74">
        <v>0.0</v>
      </c>
      <c r="I52" s="53" t="s">
        <v>287</v>
      </c>
    </row>
    <row r="53" ht="14.25" customHeight="1">
      <c r="B53" s="67">
        <v>49.0</v>
      </c>
      <c r="C53" s="52"/>
      <c r="D53" s="73" t="s">
        <v>148</v>
      </c>
      <c r="E53" s="73" t="s">
        <v>149</v>
      </c>
      <c r="F53" s="74">
        <v>0.0</v>
      </c>
      <c r="G53" s="74">
        <v>0.0</v>
      </c>
      <c r="H53" s="74">
        <v>0.0</v>
      </c>
      <c r="I53" s="53" t="s">
        <v>288</v>
      </c>
    </row>
    <row r="54" ht="14.25" customHeight="1">
      <c r="B54" s="67">
        <v>50.0</v>
      </c>
      <c r="C54" s="52"/>
      <c r="D54" s="69" t="s">
        <v>190</v>
      </c>
      <c r="E54" s="69" t="s">
        <v>191</v>
      </c>
      <c r="F54" s="67">
        <v>1.0</v>
      </c>
      <c r="G54" s="67">
        <v>1.0</v>
      </c>
      <c r="H54" s="67">
        <v>1.0</v>
      </c>
      <c r="I54" s="28"/>
    </row>
    <row r="55" ht="14.25" customHeight="1">
      <c r="B55" s="67">
        <v>51.0</v>
      </c>
      <c r="C55" s="52"/>
      <c r="D55" s="73" t="s">
        <v>66</v>
      </c>
      <c r="E55" s="73" t="s">
        <v>67</v>
      </c>
      <c r="F55" s="79">
        <v>0.0</v>
      </c>
      <c r="G55" s="79">
        <v>1.0</v>
      </c>
      <c r="H55" s="79">
        <v>1.0</v>
      </c>
      <c r="I55" s="53" t="s">
        <v>289</v>
      </c>
    </row>
    <row r="56" ht="14.25" customHeight="1">
      <c r="B56" s="67">
        <v>52.0</v>
      </c>
      <c r="C56" s="52"/>
      <c r="D56" s="69" t="s">
        <v>64</v>
      </c>
      <c r="E56" s="69" t="s">
        <v>65</v>
      </c>
      <c r="F56" s="67">
        <v>1.0</v>
      </c>
      <c r="G56" s="67">
        <v>1.0</v>
      </c>
      <c r="H56" s="67">
        <v>1.0</v>
      </c>
      <c r="I56" s="28"/>
    </row>
    <row r="57" ht="14.25" customHeight="1">
      <c r="B57" s="67">
        <v>53.0</v>
      </c>
      <c r="C57" s="52"/>
      <c r="D57" s="69" t="s">
        <v>184</v>
      </c>
      <c r="E57" s="69" t="s">
        <v>185</v>
      </c>
      <c r="F57" s="67">
        <v>1.0</v>
      </c>
      <c r="G57" s="67">
        <v>1.0</v>
      </c>
      <c r="H57" s="67">
        <v>1.0</v>
      </c>
      <c r="I57" s="28"/>
    </row>
    <row r="58" ht="14.25" customHeight="1">
      <c r="B58" s="67">
        <v>54.0</v>
      </c>
      <c r="C58" s="52"/>
      <c r="D58" s="69" t="s">
        <v>176</v>
      </c>
      <c r="E58" s="69" t="s">
        <v>177</v>
      </c>
      <c r="F58" s="67">
        <v>1.0</v>
      </c>
      <c r="G58" s="67">
        <v>1.0</v>
      </c>
      <c r="H58" s="67">
        <v>1.0</v>
      </c>
      <c r="I58" s="28"/>
    </row>
    <row r="59" ht="14.25" customHeight="1">
      <c r="B59" s="67">
        <v>55.0</v>
      </c>
      <c r="C59" s="52"/>
      <c r="D59" s="69" t="s">
        <v>72</v>
      </c>
      <c r="E59" s="69" t="s">
        <v>73</v>
      </c>
      <c r="F59" s="67">
        <v>1.0</v>
      </c>
      <c r="G59" s="67">
        <v>1.0</v>
      </c>
      <c r="H59" s="67">
        <v>1.0</v>
      </c>
      <c r="I59" s="28"/>
    </row>
    <row r="60" ht="14.25" customHeight="1">
      <c r="B60" s="67">
        <v>56.0</v>
      </c>
      <c r="C60" s="52"/>
      <c r="D60" s="69" t="s">
        <v>70</v>
      </c>
      <c r="E60" s="69" t="s">
        <v>71</v>
      </c>
      <c r="F60" s="67">
        <v>1.0</v>
      </c>
      <c r="G60" s="67">
        <v>1.0</v>
      </c>
      <c r="H60" s="67">
        <v>1.0</v>
      </c>
      <c r="I60" s="28"/>
    </row>
    <row r="61" ht="14.25" customHeight="1">
      <c r="B61" s="67">
        <v>57.0</v>
      </c>
      <c r="C61" s="52"/>
      <c r="D61" s="69" t="s">
        <v>202</v>
      </c>
      <c r="E61" s="69" t="s">
        <v>203</v>
      </c>
      <c r="F61" s="67">
        <v>1.0</v>
      </c>
      <c r="G61" s="67">
        <v>1.0</v>
      </c>
      <c r="H61" s="67">
        <v>1.0</v>
      </c>
      <c r="I61" s="28"/>
    </row>
    <row r="62" ht="14.25" customHeight="1">
      <c r="B62" s="67">
        <v>58.0</v>
      </c>
      <c r="C62" s="52"/>
      <c r="D62" s="69" t="s">
        <v>206</v>
      </c>
      <c r="E62" s="69" t="s">
        <v>207</v>
      </c>
      <c r="F62" s="67">
        <v>1.0</v>
      </c>
      <c r="G62" s="67">
        <v>1.0</v>
      </c>
      <c r="H62" s="67">
        <v>1.0</v>
      </c>
      <c r="I62" s="28"/>
    </row>
    <row r="63" ht="14.25" customHeight="1">
      <c r="B63" s="67">
        <v>59.0</v>
      </c>
      <c r="C63" s="52"/>
      <c r="D63" s="69" t="s">
        <v>76</v>
      </c>
      <c r="E63" s="69" t="s">
        <v>77</v>
      </c>
      <c r="F63" s="67">
        <v>1.0</v>
      </c>
      <c r="G63" s="67">
        <v>1.0</v>
      </c>
      <c r="H63" s="67">
        <v>1.0</v>
      </c>
      <c r="I63" s="28"/>
    </row>
    <row r="64" ht="14.25" customHeight="1">
      <c r="B64" s="67">
        <v>60.0</v>
      </c>
      <c r="C64" s="52"/>
      <c r="D64" s="73" t="s">
        <v>80</v>
      </c>
      <c r="E64" s="73" t="s">
        <v>81</v>
      </c>
      <c r="F64" s="74">
        <v>0.0</v>
      </c>
      <c r="G64" s="74">
        <v>0.0</v>
      </c>
      <c r="H64" s="74">
        <v>0.0</v>
      </c>
      <c r="I64" s="53" t="s">
        <v>290</v>
      </c>
    </row>
    <row r="65" ht="14.25" customHeight="1">
      <c r="B65" s="67">
        <v>61.0</v>
      </c>
      <c r="C65" s="52"/>
      <c r="D65" s="69" t="s">
        <v>204</v>
      </c>
      <c r="E65" s="69" t="s">
        <v>205</v>
      </c>
      <c r="F65" s="67">
        <v>1.0</v>
      </c>
      <c r="G65" s="67">
        <v>1.0</v>
      </c>
      <c r="H65" s="67">
        <v>1.0</v>
      </c>
      <c r="I65" s="28"/>
    </row>
    <row r="66" ht="14.25" customHeight="1">
      <c r="B66" s="67">
        <v>62.0</v>
      </c>
      <c r="C66" s="52"/>
      <c r="D66" s="69" t="s">
        <v>82</v>
      </c>
      <c r="E66" s="69" t="s">
        <v>83</v>
      </c>
      <c r="F66" s="67">
        <v>1.0</v>
      </c>
      <c r="G66" s="67">
        <v>1.0</v>
      </c>
      <c r="H66" s="67">
        <v>1.0</v>
      </c>
      <c r="I66" s="28"/>
    </row>
    <row r="67" ht="14.25" customHeight="1">
      <c r="B67" s="67">
        <v>63.0</v>
      </c>
      <c r="C67" s="52"/>
      <c r="D67" s="69" t="s">
        <v>84</v>
      </c>
      <c r="E67" s="69" t="s">
        <v>85</v>
      </c>
      <c r="F67" s="67">
        <v>1.0</v>
      </c>
      <c r="G67" s="67">
        <v>1.0</v>
      </c>
      <c r="H67" s="67">
        <v>1.0</v>
      </c>
      <c r="I67" s="28"/>
    </row>
    <row r="68" ht="14.25" customHeight="1">
      <c r="B68" s="67">
        <v>64.0</v>
      </c>
      <c r="C68" s="52"/>
      <c r="D68" s="69" t="s">
        <v>212</v>
      </c>
      <c r="E68" s="69" t="s">
        <v>213</v>
      </c>
      <c r="F68" s="67">
        <v>1.0</v>
      </c>
      <c r="G68" s="67">
        <v>1.0</v>
      </c>
      <c r="H68" s="67">
        <v>1.0</v>
      </c>
      <c r="I68" s="28"/>
    </row>
    <row r="69" ht="14.25" customHeight="1">
      <c r="B69" s="67">
        <v>65.0</v>
      </c>
      <c r="C69" s="52"/>
      <c r="D69" s="73" t="s">
        <v>210</v>
      </c>
      <c r="E69" s="73" t="s">
        <v>211</v>
      </c>
      <c r="F69" s="74">
        <v>0.0</v>
      </c>
      <c r="G69" s="74">
        <v>0.0</v>
      </c>
      <c r="H69" s="74">
        <v>0.0</v>
      </c>
      <c r="I69" s="53" t="s">
        <v>291</v>
      </c>
    </row>
    <row r="70" ht="14.25" customHeight="1">
      <c r="B70" s="67">
        <v>66.0</v>
      </c>
      <c r="C70" s="52"/>
      <c r="D70" s="69" t="s">
        <v>88</v>
      </c>
      <c r="E70" s="69" t="s">
        <v>89</v>
      </c>
      <c r="F70" s="67">
        <v>1.0</v>
      </c>
      <c r="G70" s="67">
        <v>1.0</v>
      </c>
      <c r="H70" s="67">
        <v>1.0</v>
      </c>
      <c r="I70" s="28"/>
    </row>
    <row r="71" ht="14.25" customHeight="1">
      <c r="B71" s="67">
        <v>67.0</v>
      </c>
      <c r="C71" s="52"/>
      <c r="D71" s="69" t="s">
        <v>86</v>
      </c>
      <c r="E71" s="69" t="s">
        <v>87</v>
      </c>
      <c r="F71" s="67">
        <v>1.0</v>
      </c>
      <c r="G71" s="67">
        <v>1.0</v>
      </c>
      <c r="H71" s="67">
        <v>1.0</v>
      </c>
      <c r="I71" s="28"/>
    </row>
    <row r="72" ht="14.25" customHeight="1">
      <c r="B72" s="67">
        <v>68.0</v>
      </c>
      <c r="C72" s="52"/>
      <c r="D72" s="69" t="s">
        <v>226</v>
      </c>
      <c r="E72" s="69" t="s">
        <v>227</v>
      </c>
      <c r="F72" s="67">
        <v>1.0</v>
      </c>
      <c r="G72" s="67">
        <v>1.0</v>
      </c>
      <c r="H72" s="67">
        <v>1.0</v>
      </c>
      <c r="I72" s="28"/>
    </row>
    <row r="73" ht="14.25" customHeight="1">
      <c r="B73" s="67">
        <v>69.0</v>
      </c>
      <c r="C73" s="52"/>
      <c r="D73" s="69" t="s">
        <v>90</v>
      </c>
      <c r="E73" s="69" t="s">
        <v>91</v>
      </c>
      <c r="F73" s="67">
        <v>1.0</v>
      </c>
      <c r="G73" s="67">
        <v>1.0</v>
      </c>
      <c r="H73" s="67">
        <v>1.0</v>
      </c>
      <c r="I73" s="28"/>
    </row>
    <row r="74" ht="14.25" customHeight="1">
      <c r="B74" s="67">
        <v>70.0</v>
      </c>
      <c r="C74" s="52"/>
      <c r="D74" s="69" t="s">
        <v>92</v>
      </c>
      <c r="E74" s="69" t="s">
        <v>93</v>
      </c>
      <c r="F74" s="67">
        <v>1.0</v>
      </c>
      <c r="G74" s="67">
        <v>1.0</v>
      </c>
      <c r="H74" s="67">
        <v>1.0</v>
      </c>
      <c r="I74" s="28"/>
    </row>
    <row r="75" ht="14.25" customHeight="1">
      <c r="B75" s="67">
        <v>71.0</v>
      </c>
      <c r="C75" s="52"/>
      <c r="D75" s="69" t="s">
        <v>94</v>
      </c>
      <c r="E75" s="69" t="s">
        <v>95</v>
      </c>
      <c r="F75" s="67">
        <v>1.0</v>
      </c>
      <c r="G75" s="67">
        <v>1.0</v>
      </c>
      <c r="H75" s="67">
        <v>1.0</v>
      </c>
      <c r="I75" s="28"/>
    </row>
    <row r="76" ht="14.25" customHeight="1">
      <c r="B76" s="67">
        <v>72.0</v>
      </c>
      <c r="C76" s="46"/>
      <c r="D76" s="73" t="s">
        <v>144</v>
      </c>
      <c r="E76" s="73" t="s">
        <v>145</v>
      </c>
      <c r="F76" s="74">
        <v>0.0</v>
      </c>
      <c r="G76" s="74">
        <v>0.0</v>
      </c>
      <c r="H76" s="74">
        <v>0.0</v>
      </c>
      <c r="I76" s="53" t="s">
        <v>292</v>
      </c>
    </row>
    <row r="77" ht="14.25" customHeight="1">
      <c r="D77" s="38"/>
      <c r="E77" s="38"/>
    </row>
    <row r="78" ht="14.25" customHeight="1">
      <c r="C78" s="13" t="s">
        <v>262</v>
      </c>
      <c r="D78" s="80"/>
      <c r="E78" s="18" t="s">
        <v>293</v>
      </c>
      <c r="F78" s="17"/>
    </row>
    <row r="79" ht="14.25" customHeight="1">
      <c r="D79" s="38"/>
      <c r="E79" s="38"/>
    </row>
    <row r="80" ht="14.25" customHeight="1">
      <c r="C80" s="81" t="s">
        <v>264</v>
      </c>
      <c r="D80" s="40"/>
      <c r="E80" s="82" t="s">
        <v>13</v>
      </c>
      <c r="G80" s="36"/>
    </row>
    <row r="81" ht="14.25" customHeight="1">
      <c r="C81" s="83" t="s">
        <v>265</v>
      </c>
      <c r="D81" s="42"/>
      <c r="E81" s="84">
        <v>123.0</v>
      </c>
    </row>
    <row r="82" ht="42.0" customHeight="1">
      <c r="C82" s="44"/>
      <c r="D82" s="45"/>
      <c r="E82" s="46"/>
    </row>
    <row r="83" ht="14.25" customHeight="1">
      <c r="C83" s="83" t="s">
        <v>266</v>
      </c>
      <c r="D83" s="42"/>
      <c r="E83" s="84" t="str">
        <f>E81-104</f>
        <v>19</v>
      </c>
    </row>
    <row r="84" ht="49.5" customHeight="1">
      <c r="C84" s="44"/>
      <c r="D84" s="45"/>
      <c r="E84" s="46"/>
      <c r="G84" s="36"/>
    </row>
    <row r="85" ht="54.0" customHeight="1">
      <c r="C85" s="85" t="s">
        <v>271</v>
      </c>
      <c r="D85" s="40"/>
      <c r="E85" s="86">
        <v>32.0</v>
      </c>
      <c r="G85" s="36"/>
    </row>
    <row r="86" ht="92.25" customHeight="1">
      <c r="C86" s="85" t="s">
        <v>294</v>
      </c>
      <c r="D86" s="40"/>
      <c r="E86" s="86" t="str">
        <f>73-55</f>
        <v>18</v>
      </c>
    </row>
    <row r="87" ht="78.0" customHeight="1">
      <c r="C87" s="87" t="s">
        <v>295</v>
      </c>
      <c r="D87" s="40"/>
      <c r="E87" s="88" t="str">
        <f>E81-E83-E85-E86</f>
        <v>54</v>
      </c>
    </row>
    <row r="88" ht="14.25" customHeight="1">
      <c r="D88" s="38"/>
      <c r="E88" s="38"/>
    </row>
    <row r="89" ht="14.25" customHeight="1">
      <c r="D89" s="38"/>
      <c r="E89" s="38"/>
    </row>
    <row r="90" ht="14.25" customHeight="1">
      <c r="D90" s="38"/>
      <c r="E90" s="38"/>
    </row>
    <row r="91" ht="14.25" customHeight="1">
      <c r="D91" s="38"/>
      <c r="E91" s="38"/>
    </row>
    <row r="92" ht="14.25" customHeight="1">
      <c r="D92" s="38"/>
      <c r="E92" s="38"/>
    </row>
    <row r="93" ht="14.25" customHeight="1">
      <c r="D93" s="38"/>
      <c r="E93" s="38"/>
    </row>
    <row r="94" ht="14.25" customHeight="1">
      <c r="D94" s="38"/>
      <c r="E94" s="38"/>
    </row>
    <row r="95" ht="14.25" customHeight="1">
      <c r="D95" s="38"/>
      <c r="E95" s="38"/>
    </row>
    <row r="96" ht="14.25" customHeight="1">
      <c r="D96" s="38"/>
      <c r="E96" s="38"/>
    </row>
    <row r="97" ht="14.25" customHeight="1">
      <c r="D97" s="38"/>
      <c r="E97" s="38"/>
    </row>
    <row r="98" ht="14.25" customHeight="1">
      <c r="D98" s="38"/>
      <c r="E98" s="38"/>
    </row>
    <row r="99" ht="14.25" customHeight="1">
      <c r="D99" s="38"/>
      <c r="E99" s="38"/>
    </row>
    <row r="100" ht="14.25" customHeight="1">
      <c r="D100" s="38"/>
      <c r="E100" s="38"/>
    </row>
    <row r="101" ht="14.25" customHeight="1">
      <c r="D101" s="38"/>
      <c r="E101" s="38"/>
    </row>
    <row r="102" ht="14.25" customHeight="1">
      <c r="D102" s="38"/>
      <c r="E102" s="38"/>
    </row>
    <row r="103" ht="14.25" customHeight="1">
      <c r="D103" s="38"/>
      <c r="E103" s="38"/>
    </row>
    <row r="104" ht="14.25" customHeight="1">
      <c r="D104" s="38"/>
      <c r="E104" s="38"/>
    </row>
    <row r="105" ht="14.25" customHeight="1">
      <c r="D105" s="38"/>
      <c r="E105" s="38"/>
    </row>
    <row r="106" ht="14.25" customHeight="1">
      <c r="D106" s="38"/>
      <c r="E106" s="38"/>
    </row>
    <row r="107" ht="14.25" customHeight="1">
      <c r="D107" s="38"/>
      <c r="E107" s="38"/>
    </row>
    <row r="108" ht="14.25" customHeight="1">
      <c r="D108" s="38"/>
      <c r="E108" s="38"/>
    </row>
    <row r="109" ht="14.25" customHeight="1">
      <c r="D109" s="38"/>
      <c r="E109" s="38"/>
    </row>
    <row r="110" ht="14.25" customHeight="1">
      <c r="D110" s="38"/>
      <c r="E110" s="38"/>
    </row>
    <row r="111" ht="14.25" customHeight="1">
      <c r="D111" s="38"/>
      <c r="E111" s="38"/>
    </row>
    <row r="112" ht="14.25" customHeight="1">
      <c r="D112" s="38"/>
      <c r="E112" s="38"/>
    </row>
    <row r="113" ht="14.25" customHeight="1">
      <c r="D113" s="38"/>
      <c r="E113" s="38"/>
    </row>
    <row r="114" ht="14.25" customHeight="1">
      <c r="D114" s="38"/>
      <c r="E114" s="38"/>
    </row>
    <row r="115" ht="14.25" customHeight="1">
      <c r="D115" s="38"/>
      <c r="E115" s="38"/>
    </row>
    <row r="116" ht="14.25" customHeight="1">
      <c r="D116" s="38"/>
      <c r="E116" s="38"/>
    </row>
    <row r="117" ht="14.25" customHeight="1">
      <c r="D117" s="38"/>
      <c r="E117" s="38"/>
    </row>
    <row r="118" ht="14.25" customHeight="1">
      <c r="D118" s="38"/>
      <c r="E118" s="38"/>
    </row>
    <row r="119" ht="14.25" customHeight="1">
      <c r="D119" s="38"/>
      <c r="E119" s="38"/>
    </row>
    <row r="120" ht="14.25" customHeight="1">
      <c r="D120" s="38"/>
      <c r="E120" s="38"/>
    </row>
    <row r="121" ht="14.25" customHeight="1">
      <c r="D121" s="38"/>
      <c r="E121" s="38"/>
    </row>
    <row r="122" ht="14.25" customHeight="1">
      <c r="D122" s="38"/>
      <c r="E122" s="38"/>
    </row>
    <row r="123" ht="14.25" customHeight="1">
      <c r="D123" s="38"/>
      <c r="E123" s="38"/>
    </row>
    <row r="124" ht="14.25" customHeight="1">
      <c r="D124" s="38"/>
      <c r="E124" s="38"/>
    </row>
    <row r="125" ht="14.25" customHeight="1">
      <c r="D125" s="38"/>
      <c r="E125" s="38"/>
    </row>
    <row r="126" ht="14.25" customHeight="1">
      <c r="D126" s="38"/>
      <c r="E126" s="38"/>
    </row>
    <row r="127" ht="14.25" customHeight="1">
      <c r="D127" s="38"/>
      <c r="E127" s="38"/>
    </row>
    <row r="128" ht="14.25" customHeight="1">
      <c r="D128" s="38"/>
      <c r="E128" s="38"/>
    </row>
    <row r="129" ht="14.25" customHeight="1">
      <c r="D129" s="38"/>
      <c r="E129" s="38"/>
    </row>
    <row r="130" ht="14.25" customHeight="1">
      <c r="D130" s="38"/>
      <c r="E130" s="38"/>
    </row>
    <row r="131" ht="14.25" customHeight="1">
      <c r="D131" s="38"/>
      <c r="E131" s="38"/>
    </row>
    <row r="132" ht="14.25" customHeight="1">
      <c r="D132" s="38"/>
      <c r="E132" s="38"/>
    </row>
    <row r="133" ht="14.25" customHeight="1">
      <c r="D133" s="38"/>
      <c r="E133" s="38"/>
    </row>
    <row r="134" ht="14.25" customHeight="1">
      <c r="D134" s="38"/>
      <c r="E134" s="38"/>
    </row>
    <row r="135" ht="14.25" customHeight="1">
      <c r="D135" s="38"/>
      <c r="E135" s="38"/>
    </row>
    <row r="136" ht="14.25" customHeight="1">
      <c r="D136" s="38"/>
      <c r="E136" s="38"/>
    </row>
    <row r="137" ht="14.25" customHeight="1">
      <c r="D137" s="38"/>
      <c r="E137" s="38"/>
    </row>
    <row r="138" ht="14.25" customHeight="1">
      <c r="D138" s="38"/>
      <c r="E138" s="38"/>
    </row>
    <row r="139" ht="14.25" customHeight="1">
      <c r="D139" s="38"/>
      <c r="E139" s="38"/>
    </row>
    <row r="140" ht="14.25" customHeight="1">
      <c r="D140" s="38"/>
      <c r="E140" s="38"/>
    </row>
    <row r="141" ht="14.25" customHeight="1">
      <c r="D141" s="38"/>
      <c r="E141" s="38"/>
    </row>
    <row r="142" ht="14.25" customHeight="1">
      <c r="D142" s="38"/>
      <c r="E142" s="38"/>
    </row>
    <row r="143" ht="14.25" customHeight="1">
      <c r="D143" s="38"/>
      <c r="E143" s="38"/>
    </row>
    <row r="144" ht="14.25" customHeight="1">
      <c r="D144" s="38"/>
      <c r="E144" s="38"/>
    </row>
    <row r="145" ht="14.25" customHeight="1">
      <c r="D145" s="38"/>
      <c r="E145" s="38"/>
    </row>
    <row r="146" ht="14.25" customHeight="1">
      <c r="D146" s="38"/>
      <c r="E146" s="38"/>
    </row>
    <row r="147" ht="14.25" customHeight="1">
      <c r="D147" s="38"/>
      <c r="E147" s="38"/>
    </row>
    <row r="148" ht="14.25" customHeight="1">
      <c r="D148" s="38"/>
      <c r="E148" s="38"/>
    </row>
    <row r="149" ht="14.25" customHeight="1">
      <c r="D149" s="38"/>
      <c r="E149" s="38"/>
    </row>
    <row r="150" ht="14.25" customHeight="1">
      <c r="D150" s="38"/>
      <c r="E150" s="38"/>
    </row>
    <row r="151" ht="14.25" customHeight="1">
      <c r="D151" s="38"/>
      <c r="E151" s="38"/>
    </row>
    <row r="152" ht="14.25" customHeight="1">
      <c r="D152" s="38"/>
      <c r="E152" s="38"/>
    </row>
    <row r="153" ht="14.25" customHeight="1">
      <c r="D153" s="38"/>
      <c r="E153" s="38"/>
    </row>
    <row r="154" ht="14.25" customHeight="1">
      <c r="D154" s="38"/>
      <c r="E154" s="38"/>
    </row>
    <row r="155" ht="14.25" customHeight="1">
      <c r="D155" s="38"/>
      <c r="E155" s="38"/>
    </row>
    <row r="156" ht="14.25" customHeight="1">
      <c r="D156" s="38"/>
      <c r="E156" s="38"/>
    </row>
    <row r="157" ht="14.25" customHeight="1">
      <c r="D157" s="38"/>
      <c r="E157" s="38"/>
    </row>
    <row r="158" ht="14.25" customHeight="1">
      <c r="D158" s="38"/>
      <c r="E158" s="38"/>
    </row>
    <row r="159" ht="14.25" customHeight="1">
      <c r="D159" s="38"/>
      <c r="E159" s="38"/>
    </row>
    <row r="160" ht="14.25" customHeight="1">
      <c r="D160" s="38"/>
      <c r="E160" s="38"/>
    </row>
    <row r="161" ht="14.25" customHeight="1">
      <c r="D161" s="38"/>
      <c r="E161" s="38"/>
    </row>
    <row r="162" ht="14.25" customHeight="1">
      <c r="D162" s="38"/>
      <c r="E162" s="38"/>
    </row>
    <row r="163" ht="14.25" customHeight="1">
      <c r="D163" s="38"/>
      <c r="E163" s="38"/>
    </row>
    <row r="164" ht="14.25" customHeight="1">
      <c r="D164" s="38"/>
      <c r="E164" s="38"/>
    </row>
    <row r="165" ht="14.25" customHeight="1">
      <c r="D165" s="38"/>
      <c r="E165" s="38"/>
    </row>
    <row r="166" ht="14.25" customHeight="1">
      <c r="D166" s="38"/>
      <c r="E166" s="38"/>
    </row>
    <row r="167" ht="14.25" customHeight="1">
      <c r="D167" s="38"/>
      <c r="E167" s="38"/>
    </row>
    <row r="168" ht="14.25" customHeight="1">
      <c r="D168" s="38"/>
      <c r="E168" s="38"/>
    </row>
    <row r="169" ht="14.25" customHeight="1">
      <c r="D169" s="38"/>
      <c r="E169" s="38"/>
    </row>
    <row r="170" ht="14.25" customHeight="1">
      <c r="D170" s="38"/>
      <c r="E170" s="38"/>
    </row>
    <row r="171" ht="14.25" customHeight="1">
      <c r="D171" s="38"/>
      <c r="E171" s="38"/>
    </row>
    <row r="172" ht="14.25" customHeight="1">
      <c r="D172" s="38"/>
      <c r="E172" s="38"/>
    </row>
    <row r="173" ht="14.25" customHeight="1">
      <c r="D173" s="38"/>
      <c r="E173" s="38"/>
    </row>
    <row r="174" ht="14.25" customHeight="1">
      <c r="D174" s="38"/>
      <c r="E174" s="38"/>
    </row>
    <row r="175" ht="14.25" customHeight="1">
      <c r="D175" s="38"/>
      <c r="E175" s="38"/>
    </row>
    <row r="176" ht="14.25" customHeight="1">
      <c r="D176" s="38"/>
      <c r="E176" s="38"/>
    </row>
    <row r="177" ht="14.25" customHeight="1">
      <c r="D177" s="38"/>
      <c r="E177" s="38"/>
    </row>
    <row r="178" ht="14.25" customHeight="1">
      <c r="D178" s="38"/>
      <c r="E178" s="38"/>
    </row>
    <row r="179" ht="14.25" customHeight="1">
      <c r="D179" s="38"/>
      <c r="E179" s="38"/>
    </row>
    <row r="180" ht="14.25" customHeight="1">
      <c r="D180" s="38"/>
      <c r="E180" s="38"/>
    </row>
    <row r="181" ht="14.25" customHeight="1">
      <c r="D181" s="38"/>
      <c r="E181" s="38"/>
    </row>
    <row r="182" ht="14.25" customHeight="1">
      <c r="D182" s="38"/>
      <c r="E182" s="38"/>
    </row>
    <row r="183" ht="14.25" customHeight="1">
      <c r="D183" s="38"/>
      <c r="E183" s="38"/>
    </row>
    <row r="184" ht="14.25" customHeight="1">
      <c r="D184" s="38"/>
      <c r="E184" s="38"/>
    </row>
    <row r="185" ht="14.25" customHeight="1">
      <c r="D185" s="38"/>
      <c r="E185" s="38"/>
    </row>
    <row r="186" ht="14.25" customHeight="1">
      <c r="D186" s="38"/>
      <c r="E186" s="38"/>
    </row>
    <row r="187" ht="14.25" customHeight="1">
      <c r="D187" s="38"/>
      <c r="E187" s="38"/>
    </row>
    <row r="188" ht="14.25" customHeight="1">
      <c r="D188" s="38"/>
      <c r="E188" s="38"/>
    </row>
    <row r="189" ht="14.25" customHeight="1">
      <c r="D189" s="38"/>
      <c r="E189" s="38"/>
    </row>
    <row r="190" ht="14.25" customHeight="1">
      <c r="D190" s="38"/>
      <c r="E190" s="38"/>
    </row>
    <row r="191" ht="14.25" customHeight="1">
      <c r="D191" s="38"/>
      <c r="E191" s="38"/>
    </row>
    <row r="192" ht="14.25" customHeight="1">
      <c r="D192" s="38"/>
      <c r="E192" s="38"/>
    </row>
    <row r="193" ht="14.25" customHeight="1">
      <c r="D193" s="38"/>
      <c r="E193" s="38"/>
    </row>
    <row r="194" ht="14.25" customHeight="1">
      <c r="D194" s="38"/>
      <c r="E194" s="38"/>
    </row>
    <row r="195" ht="14.25" customHeight="1">
      <c r="D195" s="38"/>
      <c r="E195" s="38"/>
    </row>
    <row r="196" ht="14.25" customHeight="1">
      <c r="D196" s="38"/>
      <c r="E196" s="38"/>
    </row>
    <row r="197" ht="14.25" customHeight="1">
      <c r="D197" s="38"/>
      <c r="E197" s="38"/>
    </row>
    <row r="198" ht="14.25" customHeight="1">
      <c r="D198" s="38"/>
      <c r="E198" s="38"/>
    </row>
    <row r="199" ht="14.25" customHeight="1">
      <c r="D199" s="38"/>
      <c r="E199" s="38"/>
    </row>
    <row r="200" ht="14.25" customHeight="1">
      <c r="D200" s="38"/>
      <c r="E200" s="38"/>
    </row>
    <row r="201" ht="14.25" customHeight="1">
      <c r="D201" s="38"/>
      <c r="E201" s="38"/>
    </row>
    <row r="202" ht="14.25" customHeight="1">
      <c r="D202" s="38"/>
      <c r="E202" s="38"/>
    </row>
    <row r="203" ht="14.25" customHeight="1">
      <c r="D203" s="38"/>
      <c r="E203" s="38"/>
    </row>
    <row r="204" ht="14.25" customHeight="1">
      <c r="D204" s="38"/>
      <c r="E204" s="38"/>
    </row>
    <row r="205" ht="14.25" customHeight="1">
      <c r="D205" s="38"/>
      <c r="E205" s="38"/>
    </row>
    <row r="206" ht="14.25" customHeight="1">
      <c r="D206" s="38"/>
      <c r="E206" s="38"/>
    </row>
    <row r="207" ht="14.25" customHeight="1">
      <c r="D207" s="38"/>
      <c r="E207" s="38"/>
    </row>
    <row r="208" ht="14.25" customHeight="1">
      <c r="D208" s="38"/>
      <c r="E208" s="38"/>
    </row>
    <row r="209" ht="14.25" customHeight="1">
      <c r="D209" s="38"/>
      <c r="E209" s="38"/>
    </row>
    <row r="210" ht="14.25" customHeight="1">
      <c r="D210" s="38"/>
      <c r="E210" s="38"/>
    </row>
    <row r="211" ht="14.25" customHeight="1">
      <c r="D211" s="38"/>
      <c r="E211" s="38"/>
    </row>
    <row r="212" ht="14.25" customHeight="1">
      <c r="D212" s="38"/>
      <c r="E212" s="38"/>
    </row>
    <row r="213" ht="14.25" customHeight="1">
      <c r="D213" s="38"/>
      <c r="E213" s="38"/>
    </row>
    <row r="214" ht="14.25" customHeight="1">
      <c r="D214" s="38"/>
      <c r="E214" s="38"/>
    </row>
    <row r="215" ht="14.25" customHeight="1">
      <c r="D215" s="38"/>
      <c r="E215" s="38"/>
    </row>
    <row r="216" ht="14.25" customHeight="1">
      <c r="D216" s="38"/>
      <c r="E216" s="38"/>
    </row>
    <row r="217" ht="14.25" customHeight="1">
      <c r="D217" s="38"/>
      <c r="E217" s="38"/>
    </row>
    <row r="218" ht="14.25" customHeight="1">
      <c r="D218" s="38"/>
      <c r="E218" s="38"/>
    </row>
    <row r="219" ht="14.25" customHeight="1">
      <c r="D219" s="38"/>
      <c r="E219" s="38"/>
    </row>
    <row r="220" ht="14.25" customHeight="1">
      <c r="D220" s="38"/>
      <c r="E220" s="38"/>
    </row>
    <row r="221" ht="14.25" customHeight="1">
      <c r="D221" s="38"/>
      <c r="E221" s="38"/>
    </row>
    <row r="222" ht="14.25" customHeight="1">
      <c r="D222" s="38"/>
      <c r="E222" s="38"/>
    </row>
    <row r="223" ht="14.25" customHeight="1">
      <c r="D223" s="38"/>
      <c r="E223" s="38"/>
    </row>
    <row r="224" ht="14.25" customHeight="1">
      <c r="D224" s="38"/>
      <c r="E224" s="38"/>
    </row>
    <row r="225" ht="14.25" customHeight="1">
      <c r="D225" s="38"/>
      <c r="E225" s="38"/>
    </row>
    <row r="226" ht="14.25" customHeight="1">
      <c r="D226" s="38"/>
      <c r="E226" s="38"/>
    </row>
    <row r="227" ht="14.25" customHeight="1">
      <c r="D227" s="38"/>
      <c r="E227" s="38"/>
    </row>
    <row r="228" ht="14.25" customHeight="1">
      <c r="D228" s="38"/>
      <c r="E228" s="38"/>
    </row>
    <row r="229" ht="14.25" customHeight="1">
      <c r="D229" s="38"/>
      <c r="E229" s="38"/>
    </row>
    <row r="230" ht="14.25" customHeight="1">
      <c r="D230" s="38"/>
      <c r="E230" s="38"/>
    </row>
    <row r="231" ht="14.25" customHeight="1">
      <c r="D231" s="38"/>
      <c r="E231" s="38"/>
    </row>
    <row r="232" ht="14.25" customHeight="1">
      <c r="D232" s="38"/>
      <c r="E232" s="38"/>
    </row>
    <row r="233" ht="14.25" customHeight="1">
      <c r="D233" s="38"/>
      <c r="E233" s="38"/>
    </row>
    <row r="234" ht="14.25" customHeight="1">
      <c r="D234" s="38"/>
      <c r="E234" s="38"/>
    </row>
    <row r="235" ht="14.25" customHeight="1">
      <c r="D235" s="38"/>
      <c r="E235" s="38"/>
    </row>
    <row r="236" ht="14.25" customHeight="1">
      <c r="D236" s="38"/>
      <c r="E236" s="38"/>
    </row>
    <row r="237" ht="14.25" customHeight="1">
      <c r="D237" s="38"/>
      <c r="E237" s="38"/>
    </row>
    <row r="238" ht="14.25" customHeight="1">
      <c r="D238" s="38"/>
      <c r="E238" s="38"/>
    </row>
    <row r="239" ht="14.25" customHeight="1">
      <c r="D239" s="38"/>
      <c r="E239" s="38"/>
    </row>
    <row r="240" ht="14.25" customHeight="1">
      <c r="D240" s="38"/>
      <c r="E240" s="38"/>
    </row>
    <row r="241" ht="14.25" customHeight="1">
      <c r="D241" s="38"/>
      <c r="E241" s="38"/>
    </row>
    <row r="242" ht="14.25" customHeight="1">
      <c r="D242" s="38"/>
      <c r="E242" s="38"/>
    </row>
    <row r="243" ht="14.25" customHeight="1">
      <c r="D243" s="38"/>
      <c r="E243" s="38"/>
    </row>
    <row r="244" ht="14.25" customHeight="1">
      <c r="D244" s="38"/>
      <c r="E244" s="38"/>
    </row>
    <row r="245" ht="14.25" customHeight="1">
      <c r="D245" s="38"/>
      <c r="E245" s="38"/>
    </row>
    <row r="246" ht="14.25" customHeight="1">
      <c r="D246" s="38"/>
      <c r="E246" s="38"/>
    </row>
    <row r="247" ht="14.25" customHeight="1">
      <c r="D247" s="38"/>
      <c r="E247" s="38"/>
    </row>
    <row r="248" ht="14.25" customHeight="1">
      <c r="D248" s="38"/>
      <c r="E248" s="38"/>
    </row>
    <row r="249" ht="14.25" customHeight="1">
      <c r="D249" s="38"/>
      <c r="E249" s="38"/>
    </row>
    <row r="250" ht="14.25" customHeight="1">
      <c r="D250" s="38"/>
      <c r="E250" s="38"/>
    </row>
    <row r="251" ht="14.25" customHeight="1">
      <c r="D251" s="38"/>
      <c r="E251" s="38"/>
    </row>
    <row r="252" ht="14.25" customHeight="1">
      <c r="D252" s="38"/>
      <c r="E252" s="38"/>
    </row>
    <row r="253" ht="14.25" customHeight="1">
      <c r="D253" s="38"/>
      <c r="E253" s="38"/>
    </row>
    <row r="254" ht="14.25" customHeight="1">
      <c r="D254" s="38"/>
      <c r="E254" s="38"/>
    </row>
    <row r="255" ht="14.25" customHeight="1">
      <c r="D255" s="38"/>
      <c r="E255" s="38"/>
    </row>
    <row r="256" ht="14.25" customHeight="1">
      <c r="D256" s="38"/>
      <c r="E256" s="38"/>
    </row>
    <row r="257" ht="14.25" customHeight="1">
      <c r="D257" s="38"/>
      <c r="E257" s="38"/>
    </row>
    <row r="258" ht="14.25" customHeight="1">
      <c r="D258" s="38"/>
      <c r="E258" s="38"/>
    </row>
    <row r="259" ht="14.25" customHeight="1">
      <c r="D259" s="38"/>
      <c r="E259" s="38"/>
    </row>
    <row r="260" ht="14.25" customHeight="1">
      <c r="D260" s="38"/>
      <c r="E260" s="38"/>
    </row>
    <row r="261" ht="14.25" customHeight="1">
      <c r="D261" s="38"/>
      <c r="E261" s="38"/>
    </row>
    <row r="262" ht="14.25" customHeight="1">
      <c r="D262" s="38"/>
      <c r="E262" s="38"/>
    </row>
    <row r="263" ht="14.25" customHeight="1">
      <c r="D263" s="38"/>
      <c r="E263" s="38"/>
    </row>
    <row r="264" ht="14.25" customHeight="1">
      <c r="D264" s="38"/>
      <c r="E264" s="38"/>
    </row>
    <row r="265" ht="14.25" customHeight="1">
      <c r="D265" s="38"/>
      <c r="E265" s="38"/>
    </row>
    <row r="266" ht="14.25" customHeight="1">
      <c r="D266" s="38"/>
      <c r="E266" s="38"/>
    </row>
    <row r="267" ht="14.25" customHeight="1">
      <c r="D267" s="38"/>
      <c r="E267" s="38"/>
    </row>
    <row r="268" ht="14.25" customHeight="1">
      <c r="D268" s="38"/>
      <c r="E268" s="38"/>
    </row>
    <row r="269" ht="14.25" customHeight="1">
      <c r="D269" s="38"/>
      <c r="E269" s="38"/>
    </row>
    <row r="270" ht="14.25" customHeight="1">
      <c r="D270" s="38"/>
      <c r="E270" s="38"/>
    </row>
    <row r="271" ht="14.25" customHeight="1">
      <c r="D271" s="38"/>
      <c r="E271" s="38"/>
    </row>
    <row r="272" ht="14.25" customHeight="1">
      <c r="D272" s="38"/>
      <c r="E272" s="38"/>
    </row>
    <row r="273" ht="14.25" customHeight="1">
      <c r="D273" s="38"/>
      <c r="E273" s="38"/>
    </row>
    <row r="274" ht="14.25" customHeight="1">
      <c r="D274" s="38"/>
      <c r="E274" s="38"/>
    </row>
    <row r="275" ht="14.25" customHeight="1">
      <c r="D275" s="38"/>
      <c r="E275" s="38"/>
    </row>
    <row r="276" ht="14.25" customHeight="1">
      <c r="D276" s="38"/>
      <c r="E276" s="38"/>
    </row>
    <row r="277" ht="14.25" customHeight="1">
      <c r="D277" s="38"/>
      <c r="E277" s="38"/>
    </row>
    <row r="278" ht="14.25" customHeight="1">
      <c r="D278" s="38"/>
      <c r="E278" s="38"/>
    </row>
    <row r="279" ht="14.25" customHeight="1">
      <c r="D279" s="38"/>
      <c r="E279" s="38"/>
    </row>
    <row r="280" ht="14.25" customHeight="1">
      <c r="D280" s="38"/>
      <c r="E280" s="38"/>
    </row>
    <row r="281" ht="14.25" customHeight="1">
      <c r="D281" s="38"/>
      <c r="E281" s="38"/>
    </row>
    <row r="282" ht="14.25" customHeight="1">
      <c r="D282" s="38"/>
      <c r="E282" s="38"/>
    </row>
    <row r="283" ht="14.25" customHeight="1">
      <c r="D283" s="38"/>
      <c r="E283" s="38"/>
    </row>
    <row r="284" ht="14.25" customHeight="1">
      <c r="D284" s="38"/>
      <c r="E284" s="38"/>
    </row>
    <row r="285" ht="14.25" customHeight="1">
      <c r="D285" s="38"/>
      <c r="E285" s="38"/>
    </row>
    <row r="286" ht="14.25" customHeight="1">
      <c r="D286" s="38"/>
      <c r="E286" s="38"/>
    </row>
    <row r="287" ht="14.25" customHeight="1">
      <c r="D287" s="38"/>
      <c r="E287" s="38"/>
    </row>
  </sheetData>
  <mergeCells count="11">
    <mergeCell ref="C86:D86"/>
    <mergeCell ref="C87:D87"/>
    <mergeCell ref="E81:E82"/>
    <mergeCell ref="E83:E84"/>
    <mergeCell ref="C80:D80"/>
    <mergeCell ref="C81:D82"/>
    <mergeCell ref="B1:I1"/>
    <mergeCell ref="B2:I2"/>
    <mergeCell ref="C5:C76"/>
    <mergeCell ref="C83:D84"/>
    <mergeCell ref="C85:D8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 ht="14.25" customHeight="1"/>
    <row r="2" ht="14.25" customHeight="1"/>
    <row r="3" ht="14.25" customHeight="1"/>
    <row r="4" ht="14.25" customHeight="1">
      <c r="B4" s="89" t="s">
        <v>296</v>
      </c>
      <c r="C4" s="90" t="s">
        <v>297</v>
      </c>
      <c r="D4" s="91"/>
      <c r="E4" s="91"/>
      <c r="F4" s="91"/>
      <c r="G4" s="91"/>
      <c r="H4" s="91"/>
      <c r="I4" s="91"/>
      <c r="J4" s="91"/>
      <c r="K4" s="91"/>
      <c r="L4" s="40"/>
      <c r="M4" s="89" t="s">
        <v>298</v>
      </c>
    </row>
    <row r="5" ht="14.25" customHeight="1">
      <c r="B5" s="23">
        <v>1.0</v>
      </c>
      <c r="C5" s="27" t="s">
        <v>299</v>
      </c>
      <c r="D5" s="91"/>
      <c r="E5" s="91"/>
      <c r="F5" s="91"/>
      <c r="G5" s="91"/>
      <c r="H5" s="91"/>
      <c r="I5" s="91"/>
      <c r="J5" s="91"/>
      <c r="K5" s="91"/>
      <c r="L5" s="40"/>
      <c r="M5" s="23" t="str">
        <f>'Laporan Tahunan'!B127</f>
        <v>123</v>
      </c>
    </row>
    <row r="6" ht="14.25" customHeight="1">
      <c r="B6" s="23">
        <v>2.0</v>
      </c>
      <c r="C6" s="27" t="s">
        <v>300</v>
      </c>
      <c r="D6" s="91"/>
      <c r="E6" s="91"/>
      <c r="F6" s="91"/>
      <c r="G6" s="91"/>
      <c r="H6" s="91"/>
      <c r="I6" s="91"/>
      <c r="J6" s="91"/>
      <c r="K6" s="91"/>
      <c r="L6" s="40"/>
      <c r="M6" s="23" t="str">
        <f>'Menyediakan Informasi'!E83</f>
        <v>19</v>
      </c>
    </row>
    <row r="7" ht="14.25" customHeight="1">
      <c r="B7" s="23">
        <v>3.0</v>
      </c>
      <c r="C7" s="27" t="s">
        <v>301</v>
      </c>
      <c r="D7" s="91"/>
      <c r="E7" s="91"/>
      <c r="F7" s="91"/>
      <c r="G7" s="91"/>
      <c r="H7" s="91"/>
      <c r="I7" s="91"/>
      <c r="J7" s="91"/>
      <c r="K7" s="91"/>
      <c r="L7" s="40"/>
      <c r="M7" s="23" t="str">
        <f>'Menyediakan Informasi'!E85</f>
        <v>32</v>
      </c>
    </row>
    <row r="8" ht="14.25" customHeight="1">
      <c r="B8" s="23">
        <v>4.0</v>
      </c>
      <c r="C8" s="27" t="s">
        <v>302</v>
      </c>
      <c r="D8" s="91"/>
      <c r="E8" s="91"/>
      <c r="F8" s="91"/>
      <c r="G8" s="91"/>
      <c r="H8" s="91"/>
      <c r="I8" s="91"/>
      <c r="J8" s="91"/>
      <c r="K8" s="91"/>
      <c r="L8" s="40"/>
      <c r="M8" s="23" t="str">
        <f>'Menyediakan Informasi'!E86</f>
        <v>18</v>
      </c>
    </row>
    <row r="9" ht="14.25" customHeight="1">
      <c r="B9" s="28"/>
      <c r="C9" s="92" t="s">
        <v>303</v>
      </c>
      <c r="D9" s="91"/>
      <c r="E9" s="91"/>
      <c r="F9" s="91"/>
      <c r="G9" s="91"/>
      <c r="H9" s="91"/>
      <c r="I9" s="91"/>
      <c r="J9" s="91"/>
      <c r="K9" s="91"/>
      <c r="L9" s="40"/>
      <c r="M9" s="29" t="str">
        <f>M5-M6-M7-M8</f>
        <v>54</v>
      </c>
    </row>
    <row r="10" ht="14.25" customHeight="1">
      <c r="B10" s="28"/>
      <c r="C10" s="92" t="s">
        <v>304</v>
      </c>
      <c r="D10" s="91"/>
      <c r="E10" s="91"/>
      <c r="F10" s="91"/>
      <c r="G10" s="91"/>
      <c r="H10" s="91"/>
      <c r="I10" s="91"/>
      <c r="J10" s="91"/>
      <c r="K10" s="91"/>
      <c r="L10" s="40"/>
      <c r="M10" s="29">
        <v>3.0</v>
      </c>
    </row>
    <row r="11" ht="14.25" customHeight="1">
      <c r="B11" s="28"/>
      <c r="C11" s="92" t="s">
        <v>305</v>
      </c>
      <c r="D11" s="91"/>
      <c r="E11" s="91"/>
      <c r="F11" s="91"/>
      <c r="G11" s="91"/>
      <c r="H11" s="91"/>
      <c r="I11" s="91"/>
      <c r="J11" s="91"/>
      <c r="K11" s="91"/>
      <c r="L11" s="40"/>
      <c r="M11" s="93" t="str">
        <f>M9*M10</f>
        <v>162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</sheetData>
  <mergeCells count="8">
    <mergeCell ref="C9:L9"/>
    <mergeCell ref="C10:L10"/>
    <mergeCell ref="C11:L11"/>
    <mergeCell ref="C4:L4"/>
    <mergeCell ref="C5:L5"/>
    <mergeCell ref="C6:L6"/>
    <mergeCell ref="C7:L7"/>
    <mergeCell ref="C8:L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14"/>
    <col customWidth="1" min="3" max="3" width="16.43"/>
    <col customWidth="1" min="4" max="4" width="11.14"/>
    <col customWidth="1" min="5" max="5" width="37.43"/>
    <col customWidth="1" min="6" max="6" width="8.71"/>
    <col customWidth="1" min="7" max="7" width="21.57"/>
    <col customWidth="1" min="8" max="26" width="8.71"/>
  </cols>
  <sheetData>
    <row r="1" ht="14.25" customHeight="1">
      <c r="A1" s="94"/>
      <c r="B1" s="63" t="s">
        <v>306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27.0" customHeight="1">
      <c r="A2" s="94"/>
      <c r="B2" s="95" t="s">
        <v>307</v>
      </c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4.25" customHeight="1">
      <c r="A3" s="94"/>
      <c r="F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4.25" customHeight="1">
      <c r="A4" s="96"/>
      <c r="B4" s="97" t="s">
        <v>9</v>
      </c>
      <c r="C4" s="64" t="s">
        <v>10</v>
      </c>
      <c r="D4" s="98" t="s">
        <v>11</v>
      </c>
      <c r="E4" s="99" t="s">
        <v>12</v>
      </c>
      <c r="F4" s="94"/>
      <c r="G4" s="67" t="s">
        <v>10</v>
      </c>
      <c r="H4" s="67" t="s">
        <v>13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4.25" customHeight="1">
      <c r="A5" s="100"/>
      <c r="B5" s="101">
        <v>1.0</v>
      </c>
      <c r="C5" s="68" t="s">
        <v>14</v>
      </c>
      <c r="D5" s="67" t="s">
        <v>15</v>
      </c>
      <c r="E5" s="71" t="s">
        <v>16</v>
      </c>
      <c r="F5" s="94"/>
      <c r="G5" s="71" t="s">
        <v>17</v>
      </c>
      <c r="H5" s="72">
        <v>54.0</v>
      </c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14.25" customHeight="1">
      <c r="A6" s="100"/>
      <c r="B6" s="101">
        <v>2.0</v>
      </c>
      <c r="C6" s="52"/>
      <c r="D6" s="67" t="s">
        <v>98</v>
      </c>
      <c r="E6" s="71" t="s">
        <v>99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</row>
    <row r="7" ht="14.25" customHeight="1">
      <c r="A7" s="100"/>
      <c r="B7" s="101">
        <v>3.0</v>
      </c>
      <c r="C7" s="52"/>
      <c r="D7" s="67" t="s">
        <v>78</v>
      </c>
      <c r="E7" s="71" t="s">
        <v>79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</row>
    <row r="8" ht="14.25" customHeight="1">
      <c r="A8" s="100"/>
      <c r="B8" s="101">
        <v>4.0</v>
      </c>
      <c r="C8" s="52"/>
      <c r="D8" s="67" t="s">
        <v>104</v>
      </c>
      <c r="E8" s="71" t="s">
        <v>105</v>
      </c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</row>
    <row r="9" ht="14.25" customHeight="1">
      <c r="A9" s="100"/>
      <c r="B9" s="101">
        <v>5.0</v>
      </c>
      <c r="C9" s="52"/>
      <c r="D9" s="67" t="s">
        <v>18</v>
      </c>
      <c r="E9" s="71" t="s">
        <v>19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</row>
    <row r="10" ht="14.25" customHeight="1">
      <c r="A10" s="100"/>
      <c r="B10" s="101">
        <v>6.0</v>
      </c>
      <c r="C10" s="52"/>
      <c r="D10" s="67" t="s">
        <v>108</v>
      </c>
      <c r="E10" s="71" t="s">
        <v>109</v>
      </c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</row>
    <row r="11" ht="14.25" customHeight="1">
      <c r="A11" s="100"/>
      <c r="B11" s="101">
        <v>7.0</v>
      </c>
      <c r="C11" s="52"/>
      <c r="D11" s="67" t="s">
        <v>222</v>
      </c>
      <c r="E11" s="71" t="s">
        <v>223</v>
      </c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14.25" customHeight="1">
      <c r="A12" s="100"/>
      <c r="B12" s="101">
        <v>8.0</v>
      </c>
      <c r="C12" s="52"/>
      <c r="D12" s="67" t="s">
        <v>74</v>
      </c>
      <c r="E12" s="71" t="s">
        <v>75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14.25" customHeight="1">
      <c r="A13" s="100"/>
      <c r="B13" s="101">
        <v>9.0</v>
      </c>
      <c r="C13" s="52"/>
      <c r="D13" s="67" t="s">
        <v>28</v>
      </c>
      <c r="E13" s="71" t="s">
        <v>29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14.25" customHeight="1">
      <c r="A14" s="100"/>
      <c r="B14" s="101">
        <v>10.0</v>
      </c>
      <c r="C14" s="52"/>
      <c r="D14" s="67" t="s">
        <v>24</v>
      </c>
      <c r="E14" s="71" t="s">
        <v>25</v>
      </c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14.25" customHeight="1">
      <c r="A15" s="100"/>
      <c r="B15" s="101">
        <v>11.0</v>
      </c>
      <c r="C15" s="52"/>
      <c r="D15" s="67" t="s">
        <v>110</v>
      </c>
      <c r="E15" s="71" t="s">
        <v>111</v>
      </c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14.25" customHeight="1">
      <c r="A16" s="100"/>
      <c r="B16" s="101">
        <v>12.0</v>
      </c>
      <c r="C16" s="52"/>
      <c r="D16" s="67" t="s">
        <v>26</v>
      </c>
      <c r="E16" s="71" t="s">
        <v>27</v>
      </c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4.25" customHeight="1">
      <c r="A17" s="100"/>
      <c r="B17" s="101">
        <v>13.0</v>
      </c>
      <c r="C17" s="52"/>
      <c r="D17" s="67" t="s">
        <v>30</v>
      </c>
      <c r="E17" s="71" t="s">
        <v>31</v>
      </c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14.25" customHeight="1">
      <c r="A18" s="100"/>
      <c r="B18" s="101">
        <v>14.0</v>
      </c>
      <c r="C18" s="52"/>
      <c r="D18" s="67" t="s">
        <v>120</v>
      </c>
      <c r="E18" s="71" t="s">
        <v>121</v>
      </c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4.25" customHeight="1">
      <c r="A19" s="100"/>
      <c r="B19" s="101">
        <v>15.0</v>
      </c>
      <c r="C19" s="52"/>
      <c r="D19" s="67" t="s">
        <v>118</v>
      </c>
      <c r="E19" s="71" t="s">
        <v>119</v>
      </c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14.25" customHeight="1">
      <c r="A20" s="100"/>
      <c r="B20" s="101">
        <v>16.0</v>
      </c>
      <c r="C20" s="52"/>
      <c r="D20" s="67" t="s">
        <v>32</v>
      </c>
      <c r="E20" s="71" t="s">
        <v>33</v>
      </c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4.25" customHeight="1">
      <c r="A21" s="100"/>
      <c r="B21" s="101">
        <v>17.0</v>
      </c>
      <c r="C21" s="52"/>
      <c r="D21" s="67" t="s">
        <v>126</v>
      </c>
      <c r="E21" s="71" t="s">
        <v>127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4.25" customHeight="1">
      <c r="A22" s="100"/>
      <c r="B22" s="101">
        <v>18.0</v>
      </c>
      <c r="C22" s="52"/>
      <c r="D22" s="67" t="s">
        <v>134</v>
      </c>
      <c r="E22" s="71" t="s">
        <v>135</v>
      </c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4.25" customHeight="1">
      <c r="A23" s="100"/>
      <c r="B23" s="101">
        <v>19.0</v>
      </c>
      <c r="C23" s="52"/>
      <c r="D23" s="67" t="s">
        <v>234</v>
      </c>
      <c r="E23" s="71" t="s">
        <v>235</v>
      </c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4.25" customHeight="1">
      <c r="A24" s="100"/>
      <c r="B24" s="101">
        <v>20.0</v>
      </c>
      <c r="C24" s="52"/>
      <c r="D24" s="67" t="s">
        <v>40</v>
      </c>
      <c r="E24" s="71" t="s">
        <v>41</v>
      </c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4.25" customHeight="1">
      <c r="A25" s="100"/>
      <c r="B25" s="101">
        <v>21.0</v>
      </c>
      <c r="C25" s="52"/>
      <c r="D25" s="67" t="s">
        <v>38</v>
      </c>
      <c r="E25" s="71" t="s">
        <v>39</v>
      </c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4.25" customHeight="1">
      <c r="A26" s="100"/>
      <c r="B26" s="101">
        <v>22.0</v>
      </c>
      <c r="C26" s="52"/>
      <c r="D26" s="67" t="s">
        <v>140</v>
      </c>
      <c r="E26" s="71" t="s">
        <v>141</v>
      </c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4.25" customHeight="1">
      <c r="A27" s="100"/>
      <c r="B27" s="101">
        <v>23.0</v>
      </c>
      <c r="C27" s="52"/>
      <c r="D27" s="67" t="s">
        <v>42</v>
      </c>
      <c r="E27" s="71" t="s">
        <v>43</v>
      </c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4.25" customHeight="1">
      <c r="A28" s="100"/>
      <c r="B28" s="101">
        <v>24.0</v>
      </c>
      <c r="C28" s="52"/>
      <c r="D28" s="67" t="s">
        <v>44</v>
      </c>
      <c r="E28" s="71" t="s">
        <v>45</v>
      </c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4.25" customHeight="1">
      <c r="A29" s="100"/>
      <c r="B29" s="101">
        <v>25.0</v>
      </c>
      <c r="C29" s="52"/>
      <c r="D29" s="67" t="s">
        <v>46</v>
      </c>
      <c r="E29" s="71" t="s">
        <v>47</v>
      </c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4.25" customHeight="1">
      <c r="A30" s="100"/>
      <c r="B30" s="101">
        <v>26.0</v>
      </c>
      <c r="C30" s="52"/>
      <c r="D30" s="67" t="s">
        <v>150</v>
      </c>
      <c r="E30" s="71" t="s">
        <v>151</v>
      </c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4.25" customHeight="1">
      <c r="A31" s="100"/>
      <c r="B31" s="101">
        <v>27.0</v>
      </c>
      <c r="C31" s="52"/>
      <c r="D31" s="67" t="s">
        <v>48</v>
      </c>
      <c r="E31" s="71" t="s">
        <v>49</v>
      </c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4.25" customHeight="1">
      <c r="A32" s="100"/>
      <c r="B32" s="101">
        <v>28.0</v>
      </c>
      <c r="C32" s="52"/>
      <c r="D32" s="67" t="s">
        <v>178</v>
      </c>
      <c r="E32" s="71" t="s">
        <v>179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4.25" customHeight="1">
      <c r="A33" s="100"/>
      <c r="B33" s="101">
        <v>29.0</v>
      </c>
      <c r="C33" s="52"/>
      <c r="D33" s="67" t="s">
        <v>162</v>
      </c>
      <c r="E33" s="71" t="s">
        <v>163</v>
      </c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14.25" customHeight="1">
      <c r="A34" s="100"/>
      <c r="B34" s="101">
        <v>30.0</v>
      </c>
      <c r="C34" s="52"/>
      <c r="D34" s="67" t="s">
        <v>68</v>
      </c>
      <c r="E34" s="71" t="s">
        <v>69</v>
      </c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4.25" customHeight="1">
      <c r="A35" s="100"/>
      <c r="B35" s="101">
        <v>31.0</v>
      </c>
      <c r="C35" s="52"/>
      <c r="D35" s="67" t="s">
        <v>52</v>
      </c>
      <c r="E35" s="71" t="s">
        <v>53</v>
      </c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4.25" customHeight="1">
      <c r="A36" s="100"/>
      <c r="B36" s="101">
        <v>32.0</v>
      </c>
      <c r="C36" s="52"/>
      <c r="D36" s="67" t="s">
        <v>58</v>
      </c>
      <c r="E36" s="71" t="s">
        <v>59</v>
      </c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4.25" customHeight="1">
      <c r="A37" s="100"/>
      <c r="B37" s="101">
        <v>33.0</v>
      </c>
      <c r="C37" s="52"/>
      <c r="D37" s="67" t="s">
        <v>60</v>
      </c>
      <c r="E37" s="71" t="s">
        <v>61</v>
      </c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4.25" customHeight="1">
      <c r="A38" s="100"/>
      <c r="B38" s="101">
        <v>34.0</v>
      </c>
      <c r="C38" s="52"/>
      <c r="D38" s="67" t="s">
        <v>62</v>
      </c>
      <c r="E38" s="71" t="s">
        <v>63</v>
      </c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4.25" customHeight="1">
      <c r="A39" s="100"/>
      <c r="B39" s="101">
        <v>35.0</v>
      </c>
      <c r="C39" s="52"/>
      <c r="D39" s="67" t="s">
        <v>54</v>
      </c>
      <c r="E39" s="71" t="s">
        <v>55</v>
      </c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4.25" customHeight="1">
      <c r="A40" s="100"/>
      <c r="B40" s="101">
        <v>36.0</v>
      </c>
      <c r="C40" s="52"/>
      <c r="D40" s="67" t="s">
        <v>190</v>
      </c>
      <c r="E40" s="71" t="s">
        <v>191</v>
      </c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4.25" customHeight="1">
      <c r="A41" s="100"/>
      <c r="B41" s="101">
        <v>37.0</v>
      </c>
      <c r="C41" s="52"/>
      <c r="D41" s="67" t="s">
        <v>64</v>
      </c>
      <c r="E41" s="71" t="s">
        <v>65</v>
      </c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4.25" customHeight="1">
      <c r="A42" s="100"/>
      <c r="B42" s="101">
        <v>38.0</v>
      </c>
      <c r="C42" s="52"/>
      <c r="D42" s="67" t="s">
        <v>184</v>
      </c>
      <c r="E42" s="71" t="s">
        <v>185</v>
      </c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4.25" customHeight="1">
      <c r="A43" s="100"/>
      <c r="B43" s="101">
        <v>39.0</v>
      </c>
      <c r="C43" s="52"/>
      <c r="D43" s="67" t="s">
        <v>176</v>
      </c>
      <c r="E43" s="71" t="s">
        <v>177</v>
      </c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4.25" customHeight="1">
      <c r="A44" s="100"/>
      <c r="B44" s="101">
        <v>40.0</v>
      </c>
      <c r="C44" s="52"/>
      <c r="D44" s="67" t="s">
        <v>72</v>
      </c>
      <c r="E44" s="71" t="s">
        <v>73</v>
      </c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4.25" customHeight="1">
      <c r="A45" s="100"/>
      <c r="B45" s="101">
        <v>41.0</v>
      </c>
      <c r="C45" s="52"/>
      <c r="D45" s="67" t="s">
        <v>70</v>
      </c>
      <c r="E45" s="71" t="s">
        <v>71</v>
      </c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4.25" customHeight="1">
      <c r="A46" s="100"/>
      <c r="B46" s="101">
        <v>42.0</v>
      </c>
      <c r="C46" s="52"/>
      <c r="D46" s="67" t="s">
        <v>202</v>
      </c>
      <c r="E46" s="71" t="s">
        <v>203</v>
      </c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4.25" customHeight="1">
      <c r="A47" s="100"/>
      <c r="B47" s="101">
        <v>43.0</v>
      </c>
      <c r="C47" s="52"/>
      <c r="D47" s="67" t="s">
        <v>206</v>
      </c>
      <c r="E47" s="71" t="s">
        <v>207</v>
      </c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4.25" customHeight="1">
      <c r="A48" s="100"/>
      <c r="B48" s="101">
        <v>44.0</v>
      </c>
      <c r="C48" s="52"/>
      <c r="D48" s="67" t="s">
        <v>76</v>
      </c>
      <c r="E48" s="71" t="s">
        <v>77</v>
      </c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4.25" customHeight="1">
      <c r="A49" s="100"/>
      <c r="B49" s="101">
        <v>45.0</v>
      </c>
      <c r="C49" s="52"/>
      <c r="D49" s="67" t="s">
        <v>204</v>
      </c>
      <c r="E49" s="71" t="s">
        <v>205</v>
      </c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4.25" customHeight="1">
      <c r="A50" s="100"/>
      <c r="B50" s="101">
        <v>46.0</v>
      </c>
      <c r="C50" s="52"/>
      <c r="D50" s="67" t="s">
        <v>82</v>
      </c>
      <c r="E50" s="71" t="s">
        <v>83</v>
      </c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4.25" customHeight="1">
      <c r="A51" s="100"/>
      <c r="B51" s="101">
        <v>47.0</v>
      </c>
      <c r="C51" s="52"/>
      <c r="D51" s="67" t="s">
        <v>84</v>
      </c>
      <c r="E51" s="71" t="s">
        <v>85</v>
      </c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4.25" customHeight="1">
      <c r="A52" s="100"/>
      <c r="B52" s="101">
        <v>48.0</v>
      </c>
      <c r="C52" s="52"/>
      <c r="D52" s="67" t="s">
        <v>212</v>
      </c>
      <c r="E52" s="71" t="s">
        <v>213</v>
      </c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4.25" customHeight="1">
      <c r="A53" s="100"/>
      <c r="B53" s="101">
        <v>49.0</v>
      </c>
      <c r="C53" s="52"/>
      <c r="D53" s="67" t="s">
        <v>88</v>
      </c>
      <c r="E53" s="71" t="s">
        <v>89</v>
      </c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4.25" customHeight="1">
      <c r="A54" s="100"/>
      <c r="B54" s="101">
        <v>50.0</v>
      </c>
      <c r="C54" s="52"/>
      <c r="D54" s="67" t="s">
        <v>86</v>
      </c>
      <c r="E54" s="71" t="s">
        <v>87</v>
      </c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4.25" customHeight="1">
      <c r="A55" s="100"/>
      <c r="B55" s="101">
        <v>51.0</v>
      </c>
      <c r="C55" s="52"/>
      <c r="D55" s="67" t="s">
        <v>226</v>
      </c>
      <c r="E55" s="71" t="s">
        <v>227</v>
      </c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4.25" customHeight="1">
      <c r="A56" s="100"/>
      <c r="B56" s="101">
        <v>52.0</v>
      </c>
      <c r="C56" s="52"/>
      <c r="D56" s="67" t="s">
        <v>90</v>
      </c>
      <c r="E56" s="71" t="s">
        <v>91</v>
      </c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4.25" customHeight="1">
      <c r="A57" s="100"/>
      <c r="B57" s="101">
        <v>53.0</v>
      </c>
      <c r="C57" s="52"/>
      <c r="D57" s="67" t="s">
        <v>92</v>
      </c>
      <c r="E57" s="71" t="s">
        <v>93</v>
      </c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4.25" customHeight="1">
      <c r="A58" s="100"/>
      <c r="B58" s="101">
        <v>54.0</v>
      </c>
      <c r="C58" s="46"/>
      <c r="D58" s="67" t="s">
        <v>94</v>
      </c>
      <c r="E58" s="71" t="s">
        <v>95</v>
      </c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4.2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4.2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4.2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4.2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4.2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4.2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4.2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4.2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4.2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4.2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4.2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4.2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4.2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4.2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4.2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4.2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4.2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4.2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4.2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4.2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4.2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4.2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4.2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4.2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4.2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4.2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4.2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4.2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4.2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4.2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4.2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4.2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4.2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4.2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4.2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4.2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4.2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4.2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4.2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4.2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4.2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4.2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4.2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4.2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4.2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4.2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4.2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4.2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4.2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4.2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4.2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4.2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4.2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4.2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4.2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4.2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4.2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4.2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4.2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4.2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4.2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4.2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4.2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4.2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4.2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4.2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4.2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4.2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4.2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4.2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4.2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4.2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4.2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4.2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4.2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4.2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4.2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4.2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4.2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4.2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4.2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4.2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4.2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4.2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4.2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4.2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4.2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4.2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4.2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4.2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4.2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4.2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4.2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4.2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4.2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4.2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4.2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4.2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4.2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4.2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4.2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4.2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4.2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4.2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4.2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4.2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4.2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4.2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4.2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4.2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4.2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4.2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4.2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4.2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4.2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4.2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4.2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4.2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4.2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4.2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4.2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4.2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4.2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4.2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4.2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4.2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4.2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4.2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4.2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4.2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4.2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4.2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4.2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4.2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4.2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4.2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4.2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4.2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4.2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4.2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4.2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4.2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4.2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4.2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4.2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4.2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4.2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4.2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4.2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4.2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4.2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4.2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4.2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4.2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4.2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4.2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4.2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4.2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4.2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4.2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4.2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4.2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4.2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4.2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4.2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4.2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4.2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4.2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4.2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4.2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4.2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4.2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4.2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4.2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4.2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4.2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4.2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4.2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4.2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4.2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4.2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4.2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4.2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4.2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4.2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4.2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4.2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4.2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4.2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4.2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4.2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4.2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4.2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4.2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4.2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4.2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4.2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4.2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4.2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4.2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</sheetData>
  <mergeCells count="3">
    <mergeCell ref="B1:E1"/>
    <mergeCell ref="B2:E2"/>
    <mergeCell ref="C5:C5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13.14"/>
    <col customWidth="1" min="4" max="4" width="8.71"/>
    <col customWidth="1" min="5" max="5" width="31.14"/>
    <col customWidth="1" min="6" max="6" width="14.71"/>
    <col customWidth="1" min="7" max="7" width="15.0"/>
    <col customWidth="1" min="8" max="11" width="15.43"/>
    <col customWidth="1" min="12" max="14" width="12.14"/>
  </cols>
  <sheetData>
    <row r="1" ht="14.25" customHeight="1">
      <c r="L1" s="102"/>
      <c r="M1" s="102"/>
      <c r="N1" s="102"/>
    </row>
    <row r="2" ht="14.25" customHeight="1">
      <c r="L2" s="102"/>
      <c r="M2" s="102"/>
      <c r="N2" s="102"/>
    </row>
    <row r="3" ht="14.25" customHeight="1">
      <c r="B3" s="103" t="s">
        <v>308</v>
      </c>
      <c r="C3" s="104"/>
      <c r="D3" s="104"/>
      <c r="E3" s="42"/>
      <c r="F3" s="105" t="s">
        <v>309</v>
      </c>
      <c r="G3" s="91"/>
      <c r="H3" s="40"/>
      <c r="I3" s="106" t="s">
        <v>310</v>
      </c>
      <c r="J3" s="91"/>
      <c r="K3" s="40"/>
      <c r="L3" s="107" t="s">
        <v>311</v>
      </c>
      <c r="M3" s="91"/>
      <c r="N3" s="40"/>
    </row>
    <row r="4" ht="14.25" customHeight="1">
      <c r="B4" s="44"/>
      <c r="C4" s="108"/>
      <c r="D4" s="108"/>
      <c r="E4" s="45"/>
      <c r="F4" s="29">
        <v>2022.0</v>
      </c>
      <c r="G4" s="29">
        <v>2023.0</v>
      </c>
      <c r="H4" s="29">
        <v>2024.0</v>
      </c>
      <c r="I4" s="29">
        <v>2022.0</v>
      </c>
      <c r="J4" s="29">
        <v>2023.0</v>
      </c>
      <c r="K4" s="29">
        <v>2024.0</v>
      </c>
      <c r="L4" s="29">
        <v>2022.0</v>
      </c>
      <c r="M4" s="29">
        <v>2023.0</v>
      </c>
      <c r="N4" s="29">
        <v>2024.0</v>
      </c>
    </row>
    <row r="5" ht="14.25" customHeight="1">
      <c r="B5" s="23">
        <v>1.0</v>
      </c>
      <c r="C5" s="68" t="s">
        <v>14</v>
      </c>
      <c r="D5" s="23" t="s">
        <v>15</v>
      </c>
      <c r="E5" s="28" t="s">
        <v>16</v>
      </c>
      <c r="F5" s="109">
        <v>1.53368244E9</v>
      </c>
      <c r="G5" s="109">
        <v>1.53368244E9</v>
      </c>
      <c r="H5" s="109">
        <v>1.53368244E9</v>
      </c>
      <c r="I5" s="109">
        <v>1.924688333E9</v>
      </c>
      <c r="J5" s="109">
        <v>1.924688333E9</v>
      </c>
      <c r="K5" s="109">
        <v>1.924688333E9</v>
      </c>
      <c r="L5" s="110" t="str">
        <f t="shared" ref="L5:N5" si="1">F5/I5</f>
        <v>0.79685</v>
      </c>
      <c r="M5" s="110" t="str">
        <f t="shared" si="1"/>
        <v>0.79685</v>
      </c>
      <c r="N5" s="110" t="str">
        <f t="shared" si="1"/>
        <v>0.79685</v>
      </c>
    </row>
    <row r="6" ht="14.25" customHeight="1">
      <c r="B6" s="23">
        <v>2.0</v>
      </c>
      <c r="C6" s="52"/>
      <c r="D6" s="23" t="s">
        <v>98</v>
      </c>
      <c r="E6" s="28" t="s">
        <v>99</v>
      </c>
      <c r="F6" s="109">
        <v>5.39896713E8</v>
      </c>
      <c r="G6" s="109">
        <v>5.39896713E8</v>
      </c>
      <c r="H6" s="109">
        <v>5.38896713E8</v>
      </c>
      <c r="I6" s="109">
        <v>5.898968E8</v>
      </c>
      <c r="J6" s="109">
        <v>5.898968E8</v>
      </c>
      <c r="K6" s="109">
        <v>5.898968E8</v>
      </c>
      <c r="L6" s="110" t="str">
        <f t="shared" ref="L6:N6" si="2">F6/I6</f>
        <v>0.91524</v>
      </c>
      <c r="M6" s="110" t="str">
        <f t="shared" si="2"/>
        <v>0.91524</v>
      </c>
      <c r="N6" s="110" t="str">
        <f t="shared" si="2"/>
        <v>0.91354</v>
      </c>
    </row>
    <row r="7" ht="14.25" customHeight="1">
      <c r="B7" s="23">
        <v>3.0</v>
      </c>
      <c r="C7" s="52"/>
      <c r="D7" s="23" t="s">
        <v>78</v>
      </c>
      <c r="E7" s="28" t="s">
        <v>79</v>
      </c>
      <c r="F7" s="109">
        <v>2.2084986056E10</v>
      </c>
      <c r="G7" s="109">
        <v>2.2084986056E10</v>
      </c>
      <c r="H7" s="109">
        <v>2.2084986056E10</v>
      </c>
      <c r="I7" s="109">
        <v>4.15245017E10</v>
      </c>
      <c r="J7" s="109">
        <v>4.15245017E10</v>
      </c>
      <c r="K7" s="109">
        <v>4.15245017E10</v>
      </c>
      <c r="L7" s="110" t="str">
        <f t="shared" ref="L7:N7" si="3">F7/I7</f>
        <v>0.53185</v>
      </c>
      <c r="M7" s="110" t="str">
        <f t="shared" si="3"/>
        <v>0.53185</v>
      </c>
      <c r="N7" s="110" t="str">
        <f t="shared" si="3"/>
        <v>0.53185</v>
      </c>
    </row>
    <row r="8" ht="14.25" customHeight="1">
      <c r="B8" s="23">
        <v>4.0</v>
      </c>
      <c r="C8" s="52"/>
      <c r="D8" s="23" t="s">
        <v>104</v>
      </c>
      <c r="E8" s="28" t="s">
        <v>105</v>
      </c>
      <c r="F8" s="109">
        <v>2.740100024E9</v>
      </c>
      <c r="G8" s="109">
        <v>2.740100024E9</v>
      </c>
      <c r="H8" s="109">
        <v>2.740100024E9</v>
      </c>
      <c r="I8" s="109">
        <v>3.354175E9</v>
      </c>
      <c r="J8" s="109">
        <v>3.354175E9</v>
      </c>
      <c r="K8" s="109">
        <v>3.354175E9</v>
      </c>
      <c r="L8" s="110" t="str">
        <f t="shared" ref="L8:N8" si="4">F8/I8</f>
        <v>0.81692</v>
      </c>
      <c r="M8" s="110" t="str">
        <f t="shared" si="4"/>
        <v>0.81692</v>
      </c>
      <c r="N8" s="110" t="str">
        <f t="shared" si="4"/>
        <v>0.81692</v>
      </c>
    </row>
    <row r="9" ht="14.25" customHeight="1">
      <c r="B9" s="23">
        <v>5.0</v>
      </c>
      <c r="C9" s="52"/>
      <c r="D9" s="23" t="s">
        <v>18</v>
      </c>
      <c r="E9" s="28" t="s">
        <v>19</v>
      </c>
      <c r="F9" s="109">
        <v>1.6243125E9</v>
      </c>
      <c r="G9" s="109">
        <v>1.6243125E9</v>
      </c>
      <c r="H9" s="109">
        <v>1.9611851E9</v>
      </c>
      <c r="I9" s="109">
        <v>3.0E9</v>
      </c>
      <c r="J9" s="109">
        <v>3.0E9</v>
      </c>
      <c r="K9" s="109">
        <v>3.0E9</v>
      </c>
      <c r="L9" s="110" t="str">
        <f t="shared" ref="L9:N9" si="5">F9/I9</f>
        <v>0.54144</v>
      </c>
      <c r="M9" s="110" t="str">
        <f t="shared" si="5"/>
        <v>0.54144</v>
      </c>
      <c r="N9" s="110" t="str">
        <f t="shared" si="5"/>
        <v>0.65373</v>
      </c>
    </row>
    <row r="10" ht="14.25" customHeight="1">
      <c r="B10" s="23">
        <v>6.0</v>
      </c>
      <c r="C10" s="52"/>
      <c r="D10" s="23" t="s">
        <v>108</v>
      </c>
      <c r="E10" s="28" t="s">
        <v>109</v>
      </c>
      <c r="F10" s="109">
        <v>1.12143E7</v>
      </c>
      <c r="G10" s="109">
        <v>1.26374E7</v>
      </c>
      <c r="H10" s="109">
        <v>5.44444E7</v>
      </c>
      <c r="I10" s="109">
        <v>5.885E9</v>
      </c>
      <c r="J10" s="109">
        <v>5.885E9</v>
      </c>
      <c r="K10" s="109">
        <v>5.885E9</v>
      </c>
      <c r="L10" s="110" t="str">
        <f t="shared" ref="L10:N10" si="6">F10/I10</f>
        <v>0.00191</v>
      </c>
      <c r="M10" s="110" t="str">
        <f t="shared" si="6"/>
        <v>0.00215</v>
      </c>
      <c r="N10" s="110" t="str">
        <f t="shared" si="6"/>
        <v>0.00925</v>
      </c>
    </row>
    <row r="11" ht="14.25" customHeight="1">
      <c r="B11" s="23">
        <v>7.0</v>
      </c>
      <c r="C11" s="52"/>
      <c r="D11" s="23" t="s">
        <v>222</v>
      </c>
      <c r="E11" s="28" t="s">
        <v>223</v>
      </c>
      <c r="F11" s="109">
        <v>5.17771E8</v>
      </c>
      <c r="G11" s="109">
        <v>5.17771E8</v>
      </c>
      <c r="H11" s="109">
        <v>5.17771E8</v>
      </c>
      <c r="I11" s="109">
        <v>5.95E8</v>
      </c>
      <c r="J11" s="109">
        <v>5.95E8</v>
      </c>
      <c r="K11" s="109">
        <v>5.95E8</v>
      </c>
      <c r="L11" s="110" t="str">
        <f t="shared" ref="L11:N11" si="7">F11/I11</f>
        <v>0.87020</v>
      </c>
      <c r="M11" s="110" t="str">
        <f t="shared" si="7"/>
        <v>0.87020</v>
      </c>
      <c r="N11" s="110" t="str">
        <f t="shared" si="7"/>
        <v>0.87020</v>
      </c>
    </row>
    <row r="12" ht="14.25" customHeight="1">
      <c r="B12" s="23">
        <v>8.0</v>
      </c>
      <c r="C12" s="52"/>
      <c r="D12" s="23" t="s">
        <v>74</v>
      </c>
      <c r="E12" s="28" t="s">
        <v>75</v>
      </c>
      <c r="F12" s="111">
        <v>9.2256E9</v>
      </c>
      <c r="G12" s="109">
        <v>9.2256E9</v>
      </c>
      <c r="H12" s="109">
        <v>9.2256E9</v>
      </c>
      <c r="I12" s="109">
        <v>1.2E10</v>
      </c>
      <c r="J12" s="109">
        <v>1.2E10</v>
      </c>
      <c r="K12" s="109">
        <v>1.2E10</v>
      </c>
      <c r="L12" s="110" t="str">
        <f t="shared" ref="L12:N12" si="8">F12/I12</f>
        <v>0.76880</v>
      </c>
      <c r="M12" s="110" t="str">
        <f t="shared" si="8"/>
        <v>0.76880</v>
      </c>
      <c r="N12" s="110" t="str">
        <f t="shared" si="8"/>
        <v>0.76880</v>
      </c>
    </row>
    <row r="13" ht="14.25" customHeight="1">
      <c r="B13" s="23">
        <v>9.0</v>
      </c>
      <c r="C13" s="52"/>
      <c r="D13" s="23" t="s">
        <v>28</v>
      </c>
      <c r="E13" s="77" t="s">
        <v>29</v>
      </c>
      <c r="F13" s="109">
        <v>1.50216995E9</v>
      </c>
      <c r="G13" s="112">
        <v>1.811872546E9</v>
      </c>
      <c r="H13" s="112">
        <v>1.881322419E9</v>
      </c>
      <c r="I13" s="112">
        <v>7.934683E9</v>
      </c>
      <c r="J13" s="109">
        <v>7.934683E9</v>
      </c>
      <c r="K13" s="109">
        <v>7.934683E9</v>
      </c>
      <c r="L13" s="110" t="str">
        <f t="shared" ref="L13:N13" si="9">F13/I13</f>
        <v>0.18932</v>
      </c>
      <c r="M13" s="110" t="str">
        <f t="shared" si="9"/>
        <v>0.22835</v>
      </c>
      <c r="N13" s="110" t="str">
        <f t="shared" si="9"/>
        <v>0.23710</v>
      </c>
    </row>
    <row r="14" ht="14.25" customHeight="1">
      <c r="B14" s="23">
        <v>10.0</v>
      </c>
      <c r="C14" s="52"/>
      <c r="D14" s="23" t="s">
        <v>24</v>
      </c>
      <c r="E14" s="28" t="s">
        <v>25</v>
      </c>
      <c r="F14" s="113">
        <v>1.6281428294E10</v>
      </c>
      <c r="G14" s="109">
        <v>1.6249043677E10</v>
      </c>
      <c r="H14" s="109">
        <v>1.6236405077E10</v>
      </c>
      <c r="I14" s="109">
        <v>1.6398E10</v>
      </c>
      <c r="J14" s="109">
        <v>1.6398E10</v>
      </c>
      <c r="K14" s="109">
        <v>1.6398E10</v>
      </c>
      <c r="L14" s="110" t="str">
        <f t="shared" ref="L14:N14" si="10">F14/I14</f>
        <v>0.99289</v>
      </c>
      <c r="M14" s="110" t="str">
        <f t="shared" si="10"/>
        <v>0.99092</v>
      </c>
      <c r="N14" s="110" t="str">
        <f t="shared" si="10"/>
        <v>0.99015</v>
      </c>
    </row>
    <row r="15" ht="14.25" customHeight="1">
      <c r="B15" s="23">
        <v>11.0</v>
      </c>
      <c r="C15" s="52"/>
      <c r="D15" s="23" t="s">
        <v>110</v>
      </c>
      <c r="E15" s="28" t="s">
        <v>111</v>
      </c>
      <c r="F15" s="109">
        <v>4.7993457379E10</v>
      </c>
      <c r="G15" s="109">
        <v>4.7130068624E10</v>
      </c>
      <c r="H15" s="109">
        <v>5.9561032587E10</v>
      </c>
      <c r="I15" s="109">
        <v>5.9572382787E10</v>
      </c>
      <c r="J15" s="109">
        <v>5.9572382787E10</v>
      </c>
      <c r="K15" s="109">
        <v>5.9572382787E10</v>
      </c>
      <c r="L15" s="110" t="str">
        <f t="shared" ref="L15:N15" si="11">F15/I15</f>
        <v>0.80563</v>
      </c>
      <c r="M15" s="110" t="str">
        <f t="shared" si="11"/>
        <v>0.79114</v>
      </c>
      <c r="N15" s="110" t="str">
        <f t="shared" si="11"/>
        <v>0.99981</v>
      </c>
    </row>
    <row r="16" ht="14.25" customHeight="1">
      <c r="B16" s="23">
        <v>12.0</v>
      </c>
      <c r="C16" s="52"/>
      <c r="D16" s="23" t="s">
        <v>26</v>
      </c>
      <c r="E16" s="28" t="s">
        <v>27</v>
      </c>
      <c r="F16" s="109">
        <v>1.869235902E9</v>
      </c>
      <c r="G16" s="109">
        <v>1.782916872E9</v>
      </c>
      <c r="H16" s="109">
        <v>1.781349326E9</v>
      </c>
      <c r="I16" s="109">
        <v>2.05E9</v>
      </c>
      <c r="J16" s="109">
        <v>2.05E9</v>
      </c>
      <c r="K16" s="109">
        <v>2.05E9</v>
      </c>
      <c r="L16" s="110" t="str">
        <f t="shared" ref="L16:N16" si="12">F16/I16</f>
        <v>0.91182</v>
      </c>
      <c r="M16" s="110" t="str">
        <f t="shared" si="12"/>
        <v>0.86972</v>
      </c>
      <c r="N16" s="110" t="str">
        <f t="shared" si="12"/>
        <v>0.86895</v>
      </c>
    </row>
    <row r="17" ht="14.25" customHeight="1">
      <c r="B17" s="23">
        <v>13.0</v>
      </c>
      <c r="C17" s="52"/>
      <c r="D17" s="23" t="s">
        <v>30</v>
      </c>
      <c r="E17" s="28" t="s">
        <v>31</v>
      </c>
      <c r="F17" s="109">
        <v>5.3600585E8</v>
      </c>
      <c r="G17" s="109">
        <v>5.3155565E8</v>
      </c>
      <c r="H17" s="109">
        <v>5.2875205E8</v>
      </c>
      <c r="I17" s="109">
        <v>8.0065905E8</v>
      </c>
      <c r="J17" s="109">
        <v>8.0065905E8</v>
      </c>
      <c r="K17" s="109">
        <v>8.0065905E8</v>
      </c>
      <c r="L17" s="110" t="str">
        <f t="shared" ref="L17:N17" si="13">F17/I17</f>
        <v>0.66946</v>
      </c>
      <c r="M17" s="110" t="str">
        <f t="shared" si="13"/>
        <v>0.66390</v>
      </c>
      <c r="N17" s="110" t="str">
        <f t="shared" si="13"/>
        <v>0.66040</v>
      </c>
    </row>
    <row r="18" ht="14.25" customHeight="1">
      <c r="B18" s="23">
        <v>14.0</v>
      </c>
      <c r="C18" s="52"/>
      <c r="D18" s="23" t="s">
        <v>120</v>
      </c>
      <c r="E18" s="28" t="s">
        <v>121</v>
      </c>
      <c r="F18" s="109">
        <v>1.951832764E9</v>
      </c>
      <c r="G18" s="109">
        <v>1.951902464E9</v>
      </c>
      <c r="H18" s="109">
        <v>2.609379213E9</v>
      </c>
      <c r="I18" s="109">
        <v>9.468359E9</v>
      </c>
      <c r="J18" s="109">
        <v>9.468359E9</v>
      </c>
      <c r="K18" s="109">
        <v>9.468359E9</v>
      </c>
      <c r="L18" s="110" t="str">
        <f t="shared" ref="L18:N18" si="14">F18/I18</f>
        <v>0.20614</v>
      </c>
      <c r="M18" s="110" t="str">
        <f t="shared" si="14"/>
        <v>0.20615</v>
      </c>
      <c r="N18" s="110" t="str">
        <f t="shared" si="14"/>
        <v>0.27559</v>
      </c>
    </row>
    <row r="19" ht="14.25" customHeight="1">
      <c r="B19" s="23">
        <v>15.0</v>
      </c>
      <c r="C19" s="52"/>
      <c r="D19" s="23" t="s">
        <v>118</v>
      </c>
      <c r="E19" s="28" t="s">
        <v>119</v>
      </c>
      <c r="F19" s="109">
        <v>1.28689645E9</v>
      </c>
      <c r="G19" s="109">
        <v>1.28689645E9</v>
      </c>
      <c r="H19" s="109">
        <v>1.28689645E9</v>
      </c>
      <c r="I19" s="109">
        <v>1.8571355E9</v>
      </c>
      <c r="J19" s="109">
        <v>1.8571355E9</v>
      </c>
      <c r="K19" s="109">
        <v>1.8571355E9</v>
      </c>
      <c r="L19" s="110" t="str">
        <f t="shared" ref="L19:N19" si="15">F19/I19</f>
        <v>0.69295</v>
      </c>
      <c r="M19" s="110" t="str">
        <f t="shared" si="15"/>
        <v>0.69295</v>
      </c>
      <c r="N19" s="110" t="str">
        <f t="shared" si="15"/>
        <v>0.69295</v>
      </c>
    </row>
    <row r="20" ht="14.25" customHeight="1">
      <c r="B20" s="23">
        <v>16.0</v>
      </c>
      <c r="C20" s="52"/>
      <c r="D20" s="23" t="s">
        <v>32</v>
      </c>
      <c r="E20" s="28" t="s">
        <v>33</v>
      </c>
      <c r="F20" s="109">
        <v>8.01283035E9</v>
      </c>
      <c r="G20" s="109">
        <v>8.03594325E9</v>
      </c>
      <c r="H20" s="109">
        <v>8.18033735E9</v>
      </c>
      <c r="I20" s="109">
        <v>1.05998424E10</v>
      </c>
      <c r="J20" s="109">
        <v>1.05998424E10</v>
      </c>
      <c r="K20" s="109">
        <v>1.05998424E10</v>
      </c>
      <c r="L20" s="110" t="str">
        <f t="shared" ref="L20:N20" si="16">F20/I20</f>
        <v>0.75594</v>
      </c>
      <c r="M20" s="110" t="str">
        <f t="shared" si="16"/>
        <v>0.75812</v>
      </c>
      <c r="N20" s="110" t="str">
        <f t="shared" si="16"/>
        <v>0.77174</v>
      </c>
    </row>
    <row r="21" ht="14.25" customHeight="1">
      <c r="B21" s="23">
        <v>17.0</v>
      </c>
      <c r="C21" s="52"/>
      <c r="D21" s="23" t="s">
        <v>126</v>
      </c>
      <c r="E21" s="28" t="s">
        <v>127</v>
      </c>
      <c r="F21" s="109">
        <v>2.652683509E9</v>
      </c>
      <c r="G21" s="109">
        <v>2.587535375E9</v>
      </c>
      <c r="H21" s="109">
        <v>2.653447069E9</v>
      </c>
      <c r="I21" s="109">
        <v>2.70864E9</v>
      </c>
      <c r="J21" s="109">
        <v>2.70864E9</v>
      </c>
      <c r="K21" s="109">
        <v>2.70864E9</v>
      </c>
      <c r="L21" s="110" t="str">
        <f t="shared" ref="L21:N21" si="17">F21/I21</f>
        <v>0.97934</v>
      </c>
      <c r="M21" s="110" t="str">
        <f t="shared" si="17"/>
        <v>0.95529</v>
      </c>
      <c r="N21" s="110" t="str">
        <f t="shared" si="17"/>
        <v>0.97962</v>
      </c>
    </row>
    <row r="22" ht="14.25" customHeight="1">
      <c r="B22" s="23">
        <v>18.0</v>
      </c>
      <c r="C22" s="52"/>
      <c r="D22" s="23" t="s">
        <v>134</v>
      </c>
      <c r="E22" s="28" t="s">
        <v>135</v>
      </c>
      <c r="F22" s="109">
        <v>3.085E9</v>
      </c>
      <c r="G22" s="109">
        <v>3.629205E9</v>
      </c>
      <c r="H22" s="109">
        <v>3.6292669E9</v>
      </c>
      <c r="I22" s="109">
        <v>3.6294118E9</v>
      </c>
      <c r="J22" s="109">
        <v>3.6294118E9</v>
      </c>
      <c r="K22" s="109">
        <v>3.6294118E9</v>
      </c>
      <c r="L22" s="110" t="str">
        <f t="shared" ref="L22:N22" si="18">F22/I22</f>
        <v>0.85000</v>
      </c>
      <c r="M22" s="110" t="str">
        <f t="shared" si="18"/>
        <v>0.99994</v>
      </c>
      <c r="N22" s="110" t="str">
        <f t="shared" si="18"/>
        <v>0.99996</v>
      </c>
    </row>
    <row r="23" ht="14.25" customHeight="1">
      <c r="B23" s="23">
        <v>19.0</v>
      </c>
      <c r="C23" s="52"/>
      <c r="D23" s="23" t="s">
        <v>234</v>
      </c>
      <c r="E23" s="28" t="s">
        <v>235</v>
      </c>
      <c r="F23" s="109">
        <v>4.294861E8</v>
      </c>
      <c r="G23" s="109">
        <v>4.294861E8</v>
      </c>
      <c r="H23" s="109">
        <v>4.294261E8</v>
      </c>
      <c r="I23" s="109">
        <v>4.8E8</v>
      </c>
      <c r="J23" s="109">
        <v>4.8E8</v>
      </c>
      <c r="K23" s="109">
        <v>4.8E8</v>
      </c>
      <c r="L23" s="110" t="str">
        <f t="shared" ref="L23:N23" si="19">F23/I23</f>
        <v>0.89476</v>
      </c>
      <c r="M23" s="110" t="str">
        <f t="shared" si="19"/>
        <v>0.89476</v>
      </c>
      <c r="N23" s="110" t="str">
        <f t="shared" si="19"/>
        <v>0.89464</v>
      </c>
    </row>
    <row r="24" ht="14.25" customHeight="1">
      <c r="B24" s="23">
        <v>20.0</v>
      </c>
      <c r="C24" s="52"/>
      <c r="D24" s="23" t="s">
        <v>40</v>
      </c>
      <c r="E24" s="28" t="s">
        <v>41</v>
      </c>
      <c r="F24" s="109">
        <v>1.75092008E9</v>
      </c>
      <c r="G24" s="109">
        <v>1.729755112E9</v>
      </c>
      <c r="H24" s="109">
        <v>1.725906936E9</v>
      </c>
      <c r="I24" s="109">
        <v>1.924088E9</v>
      </c>
      <c r="J24" s="109">
        <v>1.924088E9</v>
      </c>
      <c r="K24" s="109">
        <v>1.924088E9</v>
      </c>
      <c r="L24" s="110" t="str">
        <f t="shared" ref="L24:N24" si="20">F24/I24</f>
        <v>0.91000</v>
      </c>
      <c r="M24" s="110" t="str">
        <f t="shared" si="20"/>
        <v>0.89900</v>
      </c>
      <c r="N24" s="110" t="str">
        <f t="shared" si="20"/>
        <v>0.89700</v>
      </c>
    </row>
    <row r="25" ht="14.25" customHeight="1">
      <c r="B25" s="23">
        <v>21.0</v>
      </c>
      <c r="C25" s="52"/>
      <c r="D25" s="23" t="s">
        <v>38</v>
      </c>
      <c r="E25" s="28" t="s">
        <v>39</v>
      </c>
      <c r="F25" s="109">
        <v>1.9084750105E10</v>
      </c>
      <c r="G25" s="109">
        <v>1.8714539205E10</v>
      </c>
      <c r="H25" s="109">
        <v>1.5583258305E10</v>
      </c>
      <c r="I25" s="109">
        <v>3.6897901455E10</v>
      </c>
      <c r="J25" s="109">
        <v>3.6897901455E10</v>
      </c>
      <c r="K25" s="109">
        <v>3.6897901455E10</v>
      </c>
      <c r="L25" s="110" t="str">
        <f t="shared" ref="L25:N25" si="21">F25/I25</f>
        <v>0.51723</v>
      </c>
      <c r="M25" s="110" t="str">
        <f t="shared" si="21"/>
        <v>0.50720</v>
      </c>
      <c r="N25" s="110" t="str">
        <f t="shared" si="21"/>
        <v>0.42233</v>
      </c>
    </row>
    <row r="26" ht="14.25" customHeight="1">
      <c r="B26" s="23">
        <v>22.0</v>
      </c>
      <c r="C26" s="52"/>
      <c r="D26" s="23" t="s">
        <v>140</v>
      </c>
      <c r="E26" s="28" t="s">
        <v>141</v>
      </c>
      <c r="F26" s="109">
        <v>4.3647615E9</v>
      </c>
      <c r="G26" s="109">
        <v>3.8933435E9</v>
      </c>
      <c r="H26" s="109">
        <v>3.8933435E9</v>
      </c>
      <c r="I26" s="109">
        <v>6.0E9</v>
      </c>
      <c r="J26" s="109">
        <v>6.0E9</v>
      </c>
      <c r="K26" s="109">
        <v>6.0E9</v>
      </c>
      <c r="L26" s="110" t="str">
        <f t="shared" ref="L26:N26" si="22">F26/I26</f>
        <v>0.72746</v>
      </c>
      <c r="M26" s="110" t="str">
        <f t="shared" si="22"/>
        <v>0.64889</v>
      </c>
      <c r="N26" s="110" t="str">
        <f t="shared" si="22"/>
        <v>0.64889</v>
      </c>
    </row>
    <row r="27" ht="14.25" customHeight="1">
      <c r="B27" s="23">
        <v>23.0</v>
      </c>
      <c r="C27" s="52"/>
      <c r="D27" s="23" t="s">
        <v>42</v>
      </c>
      <c r="E27" s="28" t="s">
        <v>43</v>
      </c>
      <c r="F27" s="112">
        <v>1.10925087423E11</v>
      </c>
      <c r="G27" s="109">
        <v>1.10919238399E11</v>
      </c>
      <c r="H27" s="109">
        <v>1.10554865578E11</v>
      </c>
      <c r="I27" s="109">
        <v>1.163180769E11</v>
      </c>
      <c r="J27" s="109">
        <v>1.163180769E11</v>
      </c>
      <c r="K27" s="109">
        <v>1.163180769E11</v>
      </c>
      <c r="L27" s="110" t="str">
        <f>IFERROR(F27/I27, 0)</f>
        <v>0.95364</v>
      </c>
      <c r="M27" s="110" t="str">
        <f t="shared" ref="M27:N27" si="23">G27/J27</f>
        <v>0.95359</v>
      </c>
      <c r="N27" s="110" t="str">
        <f t="shared" si="23"/>
        <v>0.95045</v>
      </c>
    </row>
    <row r="28" ht="14.25" customHeight="1">
      <c r="B28" s="23">
        <v>24.0</v>
      </c>
      <c r="C28" s="52"/>
      <c r="D28" s="23" t="s">
        <v>44</v>
      </c>
      <c r="E28" s="28" t="s">
        <v>45</v>
      </c>
      <c r="F28" s="109">
        <v>9.391678E9</v>
      </c>
      <c r="G28" s="109">
        <v>9.391678E9</v>
      </c>
      <c r="H28" s="109">
        <v>9.391678E9</v>
      </c>
      <c r="I28" s="109">
        <v>1.1661908E10</v>
      </c>
      <c r="J28" s="109">
        <v>1.1661908E10</v>
      </c>
      <c r="K28" s="109">
        <v>1.1661908E10</v>
      </c>
      <c r="L28" s="110" t="str">
        <f t="shared" ref="L28:N28" si="24">F28/I28</f>
        <v>0.80533</v>
      </c>
      <c r="M28" s="110" t="str">
        <f t="shared" si="24"/>
        <v>0.80533</v>
      </c>
      <c r="N28" s="110" t="str">
        <f t="shared" si="24"/>
        <v>0.80533</v>
      </c>
    </row>
    <row r="29" ht="14.25" customHeight="1">
      <c r="B29" s="23">
        <v>25.0</v>
      </c>
      <c r="C29" s="52"/>
      <c r="D29" s="23" t="s">
        <v>46</v>
      </c>
      <c r="E29" s="28" t="s">
        <v>47</v>
      </c>
      <c r="F29" s="109">
        <v>8.481013956E9</v>
      </c>
      <c r="G29" s="109">
        <v>8.301015213E9</v>
      </c>
      <c r="H29" s="109">
        <v>8.474867658E9</v>
      </c>
      <c r="I29" s="109">
        <v>8.7804265E9</v>
      </c>
      <c r="J29" s="109">
        <v>8.7804265E9</v>
      </c>
      <c r="K29" s="109">
        <v>8.7804265E9</v>
      </c>
      <c r="L29" s="110" t="str">
        <f t="shared" ref="L29:N29" si="25">F29/I29</f>
        <v>0.96590</v>
      </c>
      <c r="M29" s="110" t="str">
        <f t="shared" si="25"/>
        <v>0.94540</v>
      </c>
      <c r="N29" s="110" t="str">
        <f t="shared" si="25"/>
        <v>0.96520</v>
      </c>
    </row>
    <row r="30" ht="14.25" customHeight="1">
      <c r="B30" s="23">
        <v>26.0</v>
      </c>
      <c r="C30" s="52"/>
      <c r="D30" s="23" t="s">
        <v>150</v>
      </c>
      <c r="E30" s="28" t="s">
        <v>151</v>
      </c>
      <c r="F30" s="109">
        <v>6.6E7</v>
      </c>
      <c r="G30" s="109">
        <v>6.6E7</v>
      </c>
      <c r="H30" s="109">
        <v>6.6E7</v>
      </c>
      <c r="I30" s="109">
        <v>9.4072E8</v>
      </c>
      <c r="J30" s="109">
        <v>9.4072E8</v>
      </c>
      <c r="K30" s="109">
        <v>9.4072E8</v>
      </c>
      <c r="L30" s="110" t="str">
        <f t="shared" ref="L30:N30" si="26">F30/I30</f>
        <v>0.07016</v>
      </c>
      <c r="M30" s="110" t="str">
        <f t="shared" si="26"/>
        <v>0.07016</v>
      </c>
      <c r="N30" s="110" t="str">
        <f t="shared" si="26"/>
        <v>0.07016</v>
      </c>
    </row>
    <row r="31" ht="14.25" customHeight="1">
      <c r="B31" s="23">
        <v>27.0</v>
      </c>
      <c r="C31" s="52"/>
      <c r="D31" s="23" t="s">
        <v>48</v>
      </c>
      <c r="E31" s="28" t="s">
        <v>49</v>
      </c>
      <c r="F31" s="109">
        <v>1.0545822425E10</v>
      </c>
      <c r="G31" s="109">
        <v>1.0520020188E10</v>
      </c>
      <c r="H31" s="109">
        <v>1.0929265207E10</v>
      </c>
      <c r="I31" s="109">
        <v>1.1726575201E10</v>
      </c>
      <c r="J31" s="109">
        <v>1.1726575201E10</v>
      </c>
      <c r="K31" s="109">
        <v>1.1726575201E10</v>
      </c>
      <c r="L31" s="110" t="str">
        <f t="shared" ref="L31:N31" si="27">F31/I31</f>
        <v>0.89931</v>
      </c>
      <c r="M31" s="110" t="str">
        <f t="shared" si="27"/>
        <v>0.89711</v>
      </c>
      <c r="N31" s="110" t="str">
        <f t="shared" si="27"/>
        <v>0.93201</v>
      </c>
    </row>
    <row r="32" ht="14.25" customHeight="1">
      <c r="B32" s="23">
        <v>28.0</v>
      </c>
      <c r="C32" s="52"/>
      <c r="D32" s="23" t="s">
        <v>178</v>
      </c>
      <c r="E32" s="28" t="s">
        <v>179</v>
      </c>
      <c r="F32" s="109">
        <v>1.3591266E9</v>
      </c>
      <c r="G32" s="109">
        <v>1.3591443E9</v>
      </c>
      <c r="H32" s="109">
        <v>1.3594747E9</v>
      </c>
      <c r="I32" s="109">
        <v>1.5E9</v>
      </c>
      <c r="J32" s="109">
        <v>1.5E9</v>
      </c>
      <c r="K32" s="109">
        <v>1.5E9</v>
      </c>
      <c r="L32" s="110" t="str">
        <f t="shared" ref="L32:N32" si="28">F32/I32</f>
        <v>0.90608</v>
      </c>
      <c r="M32" s="110" t="str">
        <f t="shared" si="28"/>
        <v>0.90610</v>
      </c>
      <c r="N32" s="110" t="str">
        <f t="shared" si="28"/>
        <v>0.90632</v>
      </c>
    </row>
    <row r="33" ht="14.25" customHeight="1">
      <c r="B33" s="23">
        <v>29.0</v>
      </c>
      <c r="C33" s="52"/>
      <c r="D33" s="23" t="s">
        <v>162</v>
      </c>
      <c r="E33" s="28" t="s">
        <v>163</v>
      </c>
      <c r="F33" s="109">
        <v>6.09523811E8</v>
      </c>
      <c r="G33" s="109">
        <v>6.09523811E8</v>
      </c>
      <c r="H33" s="109">
        <v>6.09523811E8</v>
      </c>
      <c r="I33" s="109">
        <v>8.0E8</v>
      </c>
      <c r="J33" s="109">
        <v>8.0E8</v>
      </c>
      <c r="K33" s="109">
        <v>8.0E8</v>
      </c>
      <c r="L33" s="110" t="str">
        <f t="shared" ref="L33:N33" si="29">F33/I33</f>
        <v>0.76190</v>
      </c>
      <c r="M33" s="110" t="str">
        <f t="shared" si="29"/>
        <v>0.76190</v>
      </c>
      <c r="N33" s="110" t="str">
        <f t="shared" si="29"/>
        <v>0.76190</v>
      </c>
    </row>
    <row r="34" ht="14.25" customHeight="1">
      <c r="B34" s="23">
        <v>30.0</v>
      </c>
      <c r="C34" s="52"/>
      <c r="D34" s="23" t="s">
        <v>68</v>
      </c>
      <c r="E34" s="28" t="s">
        <v>69</v>
      </c>
      <c r="F34" s="109">
        <v>4.06599531E9</v>
      </c>
      <c r="G34" s="109">
        <v>4.06599531E9</v>
      </c>
      <c r="H34" s="109">
        <v>4.06599531E9</v>
      </c>
      <c r="I34" s="109">
        <v>6.819963965E9</v>
      </c>
      <c r="J34" s="109">
        <v>6.819963965E9</v>
      </c>
      <c r="K34" s="109">
        <v>6.819963965E9</v>
      </c>
      <c r="L34" s="110" t="str">
        <f t="shared" ref="L34:N34" si="30">F34/I34</f>
        <v>0.59619</v>
      </c>
      <c r="M34" s="110" t="str">
        <f t="shared" si="30"/>
        <v>0.59619</v>
      </c>
      <c r="N34" s="110" t="str">
        <f t="shared" si="30"/>
        <v>0.59619</v>
      </c>
    </row>
    <row r="35" ht="14.25" customHeight="1">
      <c r="B35" s="23">
        <v>31.0</v>
      </c>
      <c r="C35" s="52"/>
      <c r="D35" s="23" t="s">
        <v>52</v>
      </c>
      <c r="E35" s="28" t="s">
        <v>53</v>
      </c>
      <c r="F35" s="109">
        <v>1.282143142E9</v>
      </c>
      <c r="G35" s="109">
        <v>1.282143142E9</v>
      </c>
      <c r="H35" s="109">
        <v>1.282143142E9</v>
      </c>
      <c r="I35" s="109">
        <v>2.23875E9</v>
      </c>
      <c r="J35" s="109">
        <v>2.23875E9</v>
      </c>
      <c r="K35" s="109">
        <v>2.23875E9</v>
      </c>
      <c r="L35" s="110" t="str">
        <f t="shared" ref="L35:N35" si="31">F35/I35</f>
        <v>0.57270</v>
      </c>
      <c r="M35" s="110" t="str">
        <f t="shared" si="31"/>
        <v>0.57270</v>
      </c>
      <c r="N35" s="110" t="str">
        <f t="shared" si="31"/>
        <v>0.57270</v>
      </c>
    </row>
    <row r="36" ht="14.25" customHeight="1">
      <c r="B36" s="23">
        <v>32.0</v>
      </c>
      <c r="C36" s="52"/>
      <c r="D36" s="23" t="s">
        <v>58</v>
      </c>
      <c r="E36" s="28" t="s">
        <v>59</v>
      </c>
      <c r="F36" s="109">
        <v>2.7628585E9</v>
      </c>
      <c r="G36" s="109">
        <v>3.1478542363E10</v>
      </c>
      <c r="H36" s="109">
        <v>3.2102092633E10</v>
      </c>
      <c r="I36" s="109">
        <v>2.882353E9</v>
      </c>
      <c r="J36" s="109">
        <v>3.34352948E10</v>
      </c>
      <c r="K36" s="109">
        <v>3.34352948E10</v>
      </c>
      <c r="L36" s="110" t="str">
        <f t="shared" ref="L36:N36" si="32">F36/I36</f>
        <v>0.95854</v>
      </c>
      <c r="M36" s="110" t="str">
        <f t="shared" si="32"/>
        <v>0.94148</v>
      </c>
      <c r="N36" s="110" t="str">
        <f t="shared" si="32"/>
        <v>0.96013</v>
      </c>
    </row>
    <row r="37" ht="14.25" customHeight="1">
      <c r="B37" s="23">
        <v>33.0</v>
      </c>
      <c r="C37" s="52"/>
      <c r="D37" s="23" t="s">
        <v>60</v>
      </c>
      <c r="E37" s="28" t="s">
        <v>61</v>
      </c>
      <c r="F37" s="109">
        <v>1.881951E9</v>
      </c>
      <c r="G37" s="109">
        <v>1.881951E9</v>
      </c>
      <c r="H37" s="109">
        <v>1.881951E9</v>
      </c>
      <c r="I37" s="109">
        <v>2.107E9</v>
      </c>
      <c r="J37" s="109">
        <v>2.107E9</v>
      </c>
      <c r="K37" s="109">
        <v>2.107E9</v>
      </c>
      <c r="L37" s="110" t="str">
        <f t="shared" ref="L37:N37" si="33">F37/I37</f>
        <v>0.89319</v>
      </c>
      <c r="M37" s="110" t="str">
        <f t="shared" si="33"/>
        <v>0.89319</v>
      </c>
      <c r="N37" s="110" t="str">
        <f t="shared" si="33"/>
        <v>0.89319</v>
      </c>
    </row>
    <row r="38" ht="14.25" customHeight="1">
      <c r="B38" s="23">
        <v>34.0</v>
      </c>
      <c r="C38" s="52"/>
      <c r="D38" s="23" t="s">
        <v>62</v>
      </c>
      <c r="E38" s="28" t="s">
        <v>63</v>
      </c>
      <c r="F38" s="109">
        <v>9.109178006E9</v>
      </c>
      <c r="G38" s="109">
        <v>9.109178006E9</v>
      </c>
      <c r="H38" s="109">
        <v>9.109178006E9</v>
      </c>
      <c r="I38" s="109">
        <v>1.5554751787E10</v>
      </c>
      <c r="J38" s="109">
        <v>1.5554751787E10</v>
      </c>
      <c r="K38" s="109">
        <v>1.5554751787E10</v>
      </c>
      <c r="L38" s="110" t="str">
        <f t="shared" ref="L38:N38" si="34">F38/I38</f>
        <v>0.58562</v>
      </c>
      <c r="M38" s="110" t="str">
        <f t="shared" si="34"/>
        <v>0.58562</v>
      </c>
      <c r="N38" s="110" t="str">
        <f t="shared" si="34"/>
        <v>0.58562</v>
      </c>
    </row>
    <row r="39" ht="14.25" customHeight="1">
      <c r="B39" s="23">
        <v>35.0</v>
      </c>
      <c r="C39" s="52"/>
      <c r="D39" s="23" t="s">
        <v>54</v>
      </c>
      <c r="E39" s="28" t="s">
        <v>55</v>
      </c>
      <c r="F39" s="109">
        <v>1.3207471425E10</v>
      </c>
      <c r="G39" s="109">
        <v>1.3207471425E10</v>
      </c>
      <c r="H39" s="109">
        <v>1.3207471425E10</v>
      </c>
      <c r="I39" s="109">
        <v>2.2358699725E10</v>
      </c>
      <c r="J39" s="109">
        <v>2.2358699725E10</v>
      </c>
      <c r="K39" s="109">
        <v>2.2358699725E10</v>
      </c>
      <c r="L39" s="110" t="str">
        <f t="shared" ref="L39:N39" si="35">F39/I39</f>
        <v>0.59071</v>
      </c>
      <c r="M39" s="110" t="str">
        <f t="shared" si="35"/>
        <v>0.59071</v>
      </c>
      <c r="N39" s="110" t="str">
        <f t="shared" si="35"/>
        <v>0.59071</v>
      </c>
    </row>
    <row r="40" ht="14.25" customHeight="1">
      <c r="B40" s="23">
        <v>36.0</v>
      </c>
      <c r="C40" s="52"/>
      <c r="D40" s="23" t="s">
        <v>190</v>
      </c>
      <c r="E40" s="28" t="s">
        <v>191</v>
      </c>
      <c r="F40" s="109">
        <v>5.731887282E9</v>
      </c>
      <c r="G40" s="109">
        <v>5.3321239E9</v>
      </c>
      <c r="H40" s="109">
        <v>5.057352E9</v>
      </c>
      <c r="I40" s="109">
        <v>5.737848882E9</v>
      </c>
      <c r="J40" s="109">
        <v>5.737848882E9</v>
      </c>
      <c r="K40" s="109">
        <v>5.737848882E9</v>
      </c>
      <c r="L40" s="110" t="str">
        <f t="shared" ref="L40:N40" si="36">F40/I40</f>
        <v>0.99896</v>
      </c>
      <c r="M40" s="110" t="str">
        <f t="shared" si="36"/>
        <v>0.92929</v>
      </c>
      <c r="N40" s="110" t="str">
        <f t="shared" si="36"/>
        <v>0.88140</v>
      </c>
    </row>
    <row r="41" ht="14.25" customHeight="1">
      <c r="B41" s="23">
        <v>37.0</v>
      </c>
      <c r="C41" s="52"/>
      <c r="D41" s="23" t="s">
        <v>64</v>
      </c>
      <c r="E41" s="28" t="s">
        <v>65</v>
      </c>
      <c r="F41" s="109">
        <v>1.66404686E10</v>
      </c>
      <c r="G41" s="109">
        <v>1.66401013E10</v>
      </c>
      <c r="H41" s="109">
        <v>1.66403972E10</v>
      </c>
      <c r="I41" s="109">
        <v>1.885E10</v>
      </c>
      <c r="J41" s="109">
        <v>1.885E10</v>
      </c>
      <c r="K41" s="109">
        <v>1.885E10</v>
      </c>
      <c r="L41" s="110" t="str">
        <f t="shared" ref="L41:N41" si="37">F41/I41</f>
        <v>0.88278</v>
      </c>
      <c r="M41" s="110" t="str">
        <f t="shared" si="37"/>
        <v>0.88276</v>
      </c>
      <c r="N41" s="110" t="str">
        <f t="shared" si="37"/>
        <v>0.88278</v>
      </c>
    </row>
    <row r="42" ht="14.25" customHeight="1">
      <c r="B42" s="23">
        <v>38.0</v>
      </c>
      <c r="C42" s="52"/>
      <c r="D42" s="23" t="s">
        <v>184</v>
      </c>
      <c r="E42" s="28" t="s">
        <v>185</v>
      </c>
      <c r="F42" s="109">
        <v>6.154384961E9</v>
      </c>
      <c r="G42" s="109">
        <v>6.137322193E9</v>
      </c>
      <c r="H42" s="109">
        <v>6.101929323E9</v>
      </c>
      <c r="I42" s="109">
        <v>6.186488888E9</v>
      </c>
      <c r="J42" s="109">
        <v>6.186488888E9</v>
      </c>
      <c r="K42" s="109">
        <v>6.186488888E9</v>
      </c>
      <c r="L42" s="110" t="str">
        <f t="shared" ref="L42:N42" si="38">F42/I42</f>
        <v>0.99481</v>
      </c>
      <c r="M42" s="110" t="str">
        <f t="shared" si="38"/>
        <v>0.99205</v>
      </c>
      <c r="N42" s="110" t="str">
        <f t="shared" si="38"/>
        <v>0.98633</v>
      </c>
    </row>
    <row r="43" ht="14.25" customHeight="1">
      <c r="B43" s="23">
        <v>39.0</v>
      </c>
      <c r="C43" s="52"/>
      <c r="D43" s="23" t="s">
        <v>176</v>
      </c>
      <c r="E43" s="28" t="s">
        <v>177</v>
      </c>
      <c r="F43" s="109">
        <v>1.178987259E9</v>
      </c>
      <c r="G43" s="109">
        <v>1.142700184E9</v>
      </c>
      <c r="H43" s="109">
        <v>1.125879384E9</v>
      </c>
      <c r="I43" s="109">
        <v>1.274E9</v>
      </c>
      <c r="J43" s="109">
        <v>1.274E9</v>
      </c>
      <c r="K43" s="109">
        <v>1.274E9</v>
      </c>
      <c r="L43" s="110" t="str">
        <f t="shared" ref="L43:N43" si="39">F43/I43</f>
        <v>0.92542</v>
      </c>
      <c r="M43" s="110" t="str">
        <f t="shared" si="39"/>
        <v>0.89694</v>
      </c>
      <c r="N43" s="110" t="str">
        <f t="shared" si="39"/>
        <v>0.88374</v>
      </c>
    </row>
    <row r="44" ht="14.25" customHeight="1">
      <c r="B44" s="23">
        <v>40.0</v>
      </c>
      <c r="C44" s="52"/>
      <c r="D44" s="23" t="s">
        <v>72</v>
      </c>
      <c r="E44" s="28" t="s">
        <v>73</v>
      </c>
      <c r="F44" s="109">
        <v>1.701533E9</v>
      </c>
      <c r="G44" s="109">
        <v>1.720051E9</v>
      </c>
      <c r="H44" s="109">
        <v>1.7277665E9</v>
      </c>
      <c r="I44" s="109">
        <v>1.818622E9</v>
      </c>
      <c r="J44" s="109">
        <v>1.818622E9</v>
      </c>
      <c r="K44" s="109">
        <v>1.818622E9</v>
      </c>
      <c r="L44" s="110" t="str">
        <f t="shared" ref="L44:N44" si="40">F44/I44</f>
        <v>0.93562</v>
      </c>
      <c r="M44" s="110" t="str">
        <f t="shared" si="40"/>
        <v>0.94580</v>
      </c>
      <c r="N44" s="110" t="str">
        <f t="shared" si="40"/>
        <v>0.95004</v>
      </c>
    </row>
    <row r="45" ht="14.25" customHeight="1">
      <c r="B45" s="23">
        <v>41.0</v>
      </c>
      <c r="C45" s="52"/>
      <c r="D45" s="23" t="s">
        <v>70</v>
      </c>
      <c r="E45" s="28" t="s">
        <v>71</v>
      </c>
      <c r="F45" s="109">
        <v>1.3576047298E10</v>
      </c>
      <c r="G45" s="109">
        <v>1.3552795333E10</v>
      </c>
      <c r="H45" s="109">
        <v>1.3541944416E10</v>
      </c>
      <c r="I45" s="109">
        <v>1.550131E10</v>
      </c>
      <c r="J45" s="109">
        <v>1.550131E10</v>
      </c>
      <c r="K45" s="109">
        <v>1.550131E10</v>
      </c>
      <c r="L45" s="110" t="str">
        <f t="shared" ref="L45:N45" si="41">F45/I45</f>
        <v>0.87580</v>
      </c>
      <c r="M45" s="110" t="str">
        <f t="shared" si="41"/>
        <v>0.87430</v>
      </c>
      <c r="N45" s="110" t="str">
        <f t="shared" si="41"/>
        <v>0.87360</v>
      </c>
    </row>
    <row r="46" ht="14.25" customHeight="1">
      <c r="B46" s="23">
        <v>42.0</v>
      </c>
      <c r="C46" s="52"/>
      <c r="D46" s="23" t="s">
        <v>202</v>
      </c>
      <c r="E46" s="28" t="s">
        <v>203</v>
      </c>
      <c r="F46" s="109">
        <v>6.753258E8</v>
      </c>
      <c r="G46" s="109">
        <v>6.7826862E9</v>
      </c>
      <c r="H46" s="109">
        <v>6.7785345E9</v>
      </c>
      <c r="I46" s="109">
        <v>6.907405E8</v>
      </c>
      <c r="J46" s="109">
        <v>6.907405E9</v>
      </c>
      <c r="K46" s="109">
        <v>6.907405E9</v>
      </c>
      <c r="L46" s="110" t="str">
        <f t="shared" ref="L46:N46" si="42">F46/I46</f>
        <v>0.97768</v>
      </c>
      <c r="M46" s="110" t="str">
        <f t="shared" si="42"/>
        <v>0.98194</v>
      </c>
      <c r="N46" s="110" t="str">
        <f t="shared" si="42"/>
        <v>0.98134</v>
      </c>
    </row>
    <row r="47" ht="14.25" customHeight="1">
      <c r="B47" s="23">
        <v>43.0</v>
      </c>
      <c r="C47" s="52"/>
      <c r="D47" s="23" t="s">
        <v>206</v>
      </c>
      <c r="E47" s="28" t="s">
        <v>207</v>
      </c>
      <c r="F47" s="109">
        <v>2.653897571E9</v>
      </c>
      <c r="G47" s="109">
        <v>2.653897571E9</v>
      </c>
      <c r="H47" s="109">
        <v>2.653897571E9</v>
      </c>
      <c r="I47" s="109">
        <v>2.872193366E9</v>
      </c>
      <c r="J47" s="109">
        <v>2.872193366E9</v>
      </c>
      <c r="K47" s="109">
        <v>2.872193366E9</v>
      </c>
      <c r="L47" s="110" t="str">
        <f t="shared" ref="L47:N47" si="43">F47/I47</f>
        <v>0.92400</v>
      </c>
      <c r="M47" s="110" t="str">
        <f t="shared" si="43"/>
        <v>0.92400</v>
      </c>
      <c r="N47" s="110" t="str">
        <f t="shared" si="43"/>
        <v>0.92400</v>
      </c>
    </row>
    <row r="48" ht="14.25" customHeight="1">
      <c r="B48" s="23">
        <v>44.0</v>
      </c>
      <c r="C48" s="52"/>
      <c r="D48" s="23" t="s">
        <v>76</v>
      </c>
      <c r="E48" s="28" t="s">
        <v>77</v>
      </c>
      <c r="F48" s="109">
        <v>6.11101781E9</v>
      </c>
      <c r="G48" s="109">
        <v>6.7488164E9</v>
      </c>
      <c r="H48" s="109">
        <v>6.70112784E9</v>
      </c>
      <c r="I48" s="109">
        <v>9.525E9</v>
      </c>
      <c r="J48" s="109">
        <v>9.525E9</v>
      </c>
      <c r="K48" s="109">
        <v>9.525E9</v>
      </c>
      <c r="L48" s="110" t="str">
        <f t="shared" ref="L48:N48" si="44">F48/I48</f>
        <v>0.64158</v>
      </c>
      <c r="M48" s="110" t="str">
        <f t="shared" si="44"/>
        <v>0.70854</v>
      </c>
      <c r="N48" s="110" t="str">
        <f t="shared" si="44"/>
        <v>0.70353</v>
      </c>
    </row>
    <row r="49" ht="14.25" customHeight="1">
      <c r="B49" s="23">
        <v>45.0</v>
      </c>
      <c r="C49" s="52"/>
      <c r="D49" s="23" t="s">
        <v>204</v>
      </c>
      <c r="E49" s="28" t="s">
        <v>205</v>
      </c>
      <c r="F49" s="109">
        <v>8.323703E8</v>
      </c>
      <c r="G49" s="109">
        <v>8.323404E8</v>
      </c>
      <c r="H49" s="109">
        <v>8.322995E8</v>
      </c>
      <c r="I49" s="109">
        <v>1.31E9</v>
      </c>
      <c r="J49" s="109">
        <v>1.31E9</v>
      </c>
      <c r="K49" s="109">
        <v>1.31E9</v>
      </c>
      <c r="L49" s="110" t="str">
        <f t="shared" ref="L49:N49" si="45">F49/I49</f>
        <v>0.63540</v>
      </c>
      <c r="M49" s="110" t="str">
        <f t="shared" si="45"/>
        <v>0.63537</v>
      </c>
      <c r="N49" s="110" t="str">
        <f t="shared" si="45"/>
        <v>0.63534</v>
      </c>
    </row>
    <row r="50" ht="14.25" customHeight="1">
      <c r="B50" s="23">
        <v>46.0</v>
      </c>
      <c r="C50" s="52"/>
      <c r="D50" s="23" t="s">
        <v>82</v>
      </c>
      <c r="E50" s="28" t="s">
        <v>83</v>
      </c>
      <c r="F50" s="109">
        <v>1.71865001E10</v>
      </c>
      <c r="G50" s="109">
        <v>1.72129349E10</v>
      </c>
      <c r="H50" s="109">
        <v>1.6497047532E10</v>
      </c>
      <c r="I50" s="109">
        <v>1.985254E10</v>
      </c>
      <c r="J50" s="109">
        <v>1.985254E10</v>
      </c>
      <c r="K50" s="109">
        <v>1.985254E10</v>
      </c>
      <c r="L50" s="110" t="str">
        <f t="shared" ref="L50:N50" si="46">F50/I50</f>
        <v>0.86571</v>
      </c>
      <c r="M50" s="110" t="str">
        <f t="shared" si="46"/>
        <v>0.86704</v>
      </c>
      <c r="N50" s="110" t="str">
        <f t="shared" si="46"/>
        <v>0.83098</v>
      </c>
    </row>
    <row r="51" ht="14.25" customHeight="1">
      <c r="B51" s="23">
        <v>47.0</v>
      </c>
      <c r="C51" s="52"/>
      <c r="D51" s="23" t="s">
        <v>84</v>
      </c>
      <c r="E51" s="28" t="s">
        <v>85</v>
      </c>
      <c r="F51" s="109">
        <v>2.950315552E9</v>
      </c>
      <c r="G51" s="109">
        <v>3.843796586E9</v>
      </c>
      <c r="H51" s="109">
        <v>3.580253171E9</v>
      </c>
      <c r="I51" s="109">
        <v>5.342098939E9</v>
      </c>
      <c r="J51" s="109">
        <v>6.025373372E9</v>
      </c>
      <c r="K51" s="109">
        <v>6.025373372E9</v>
      </c>
      <c r="L51" s="110" t="str">
        <f t="shared" ref="L51:N51" si="47">F51/I51</f>
        <v>0.55228</v>
      </c>
      <c r="M51" s="110" t="str">
        <f t="shared" si="47"/>
        <v>0.63794</v>
      </c>
      <c r="N51" s="110" t="str">
        <f t="shared" si="47"/>
        <v>0.59420</v>
      </c>
    </row>
    <row r="52" ht="14.25" customHeight="1">
      <c r="B52" s="23">
        <v>48.0</v>
      </c>
      <c r="C52" s="52"/>
      <c r="D52" s="23" t="s">
        <v>212</v>
      </c>
      <c r="E52" s="28" t="s">
        <v>213</v>
      </c>
      <c r="F52" s="109">
        <v>8.97118E8</v>
      </c>
      <c r="G52" s="109">
        <v>8.97157E8</v>
      </c>
      <c r="H52" s="109">
        <v>8.9724E8</v>
      </c>
      <c r="I52" s="109">
        <v>9.18493E8</v>
      </c>
      <c r="J52" s="109">
        <v>9.18493E8</v>
      </c>
      <c r="K52" s="109">
        <v>9.18493E8</v>
      </c>
      <c r="L52" s="110" t="str">
        <f t="shared" ref="L52:N52" si="48">F52/I52</f>
        <v>0.97673</v>
      </c>
      <c r="M52" s="110" t="str">
        <f t="shared" si="48"/>
        <v>0.97677</v>
      </c>
      <c r="N52" s="110" t="str">
        <f t="shared" si="48"/>
        <v>0.97686</v>
      </c>
    </row>
    <row r="53" ht="14.25" customHeight="1">
      <c r="B53" s="23">
        <v>49.0</v>
      </c>
      <c r="C53" s="52"/>
      <c r="D53" s="23" t="s">
        <v>88</v>
      </c>
      <c r="E53" s="28" t="s">
        <v>89</v>
      </c>
      <c r="F53" s="109">
        <v>3.3385179E9</v>
      </c>
      <c r="G53" s="109">
        <v>3.3385179E9</v>
      </c>
      <c r="H53" s="109">
        <v>3.3252579E9</v>
      </c>
      <c r="I53" s="109">
        <v>4.1565723E9</v>
      </c>
      <c r="J53" s="109">
        <v>4.1565723E9</v>
      </c>
      <c r="K53" s="109">
        <v>4.1565723E9</v>
      </c>
      <c r="L53" s="110" t="str">
        <f t="shared" ref="L53:N53" si="49">F53/I53</f>
        <v>0.80319</v>
      </c>
      <c r="M53" s="110" t="str">
        <f t="shared" si="49"/>
        <v>0.80319</v>
      </c>
      <c r="N53" s="110" t="str">
        <f t="shared" si="49"/>
        <v>0.80000</v>
      </c>
    </row>
    <row r="54" ht="14.25" customHeight="1">
      <c r="B54" s="23">
        <v>50.0</v>
      </c>
      <c r="C54" s="52"/>
      <c r="D54" s="23" t="s">
        <v>86</v>
      </c>
      <c r="E54" s="28" t="s">
        <v>87</v>
      </c>
      <c r="F54" s="109">
        <v>8.10483162E9</v>
      </c>
      <c r="G54" s="109">
        <v>8.13868842E9</v>
      </c>
      <c r="H54" s="109">
        <v>8.13945372E9</v>
      </c>
      <c r="I54" s="109">
        <v>1.03981752E10</v>
      </c>
      <c r="J54" s="109">
        <v>1.03981752E10</v>
      </c>
      <c r="K54" s="109">
        <v>1.03981752E10</v>
      </c>
      <c r="L54" s="110" t="str">
        <f t="shared" ref="L54:N54" si="50">F54/I54</f>
        <v>0.77945</v>
      </c>
      <c r="M54" s="110" t="str">
        <f t="shared" si="50"/>
        <v>0.78270</v>
      </c>
      <c r="N54" s="110" t="str">
        <f t="shared" si="50"/>
        <v>0.78278</v>
      </c>
    </row>
    <row r="55" ht="14.25" customHeight="1">
      <c r="B55" s="23">
        <v>51.0</v>
      </c>
      <c r="C55" s="52"/>
      <c r="D55" s="23" t="s">
        <v>226</v>
      </c>
      <c r="E55" s="28" t="s">
        <v>227</v>
      </c>
      <c r="F55" s="109">
        <v>1.151318609E9</v>
      </c>
      <c r="G55" s="109">
        <v>1.018479309E9</v>
      </c>
      <c r="H55" s="109">
        <v>1.102773015E9</v>
      </c>
      <c r="I55" s="109">
        <v>2.500162338E9</v>
      </c>
      <c r="J55" s="109">
        <v>2.500162338E9</v>
      </c>
      <c r="K55" s="109">
        <v>2.500162344E9</v>
      </c>
      <c r="L55" s="110" t="str">
        <f t="shared" ref="L55:N55" si="51">F55/I55</f>
        <v>0.46050</v>
      </c>
      <c r="M55" s="110" t="str">
        <f t="shared" si="51"/>
        <v>0.40737</v>
      </c>
      <c r="N55" s="110" t="str">
        <f t="shared" si="51"/>
        <v>0.44108</v>
      </c>
    </row>
    <row r="56" ht="14.25" customHeight="1">
      <c r="B56" s="23">
        <v>52.0</v>
      </c>
      <c r="C56" s="52"/>
      <c r="D56" s="23" t="s">
        <v>90</v>
      </c>
      <c r="E56" s="28" t="s">
        <v>91</v>
      </c>
      <c r="F56" s="109">
        <v>3.6818758829E10</v>
      </c>
      <c r="G56" s="109">
        <v>3.7005372439E10</v>
      </c>
      <c r="H56" s="109">
        <v>3.662051823E10</v>
      </c>
      <c r="I56" s="109">
        <v>3.815E10</v>
      </c>
      <c r="J56" s="109">
        <v>3.815E10</v>
      </c>
      <c r="K56" s="109">
        <v>3.815E10</v>
      </c>
      <c r="L56" s="110" t="str">
        <f t="shared" ref="L56:N56" si="52">F56/I56</f>
        <v>0.96511</v>
      </c>
      <c r="M56" s="110" t="str">
        <f t="shared" si="52"/>
        <v>0.97000</v>
      </c>
      <c r="N56" s="110" t="str">
        <f t="shared" si="52"/>
        <v>0.95991</v>
      </c>
    </row>
    <row r="57" ht="14.25" customHeight="1">
      <c r="B57" s="23">
        <v>53.0</v>
      </c>
      <c r="C57" s="52"/>
      <c r="D57" s="23" t="s">
        <v>92</v>
      </c>
      <c r="E57" s="28" t="s">
        <v>93</v>
      </c>
      <c r="F57" s="109" t="str">
        <f t="shared" ref="F57:H57" si="53">4021350000+1677000000</f>
        <v>5,698,350,000</v>
      </c>
      <c r="G57" s="109" t="str">
        <f t="shared" si="53"/>
        <v>5,698,350,000</v>
      </c>
      <c r="H57" s="109" t="str">
        <f t="shared" si="53"/>
        <v>5,698,350,000</v>
      </c>
      <c r="I57" s="109">
        <v>6.708E9</v>
      </c>
      <c r="J57" s="109">
        <v>6.708E9</v>
      </c>
      <c r="K57" s="109">
        <v>6.708E9</v>
      </c>
      <c r="L57" s="110" t="str">
        <f t="shared" ref="L57:N57" si="54">F57/I57</f>
        <v>0.84949</v>
      </c>
      <c r="M57" s="110" t="str">
        <f t="shared" si="54"/>
        <v>0.84949</v>
      </c>
      <c r="N57" s="110" t="str">
        <f t="shared" si="54"/>
        <v>0.84949</v>
      </c>
    </row>
    <row r="58" ht="14.25" customHeight="1">
      <c r="B58" s="23">
        <v>54.0</v>
      </c>
      <c r="C58" s="114"/>
      <c r="D58" s="23" t="s">
        <v>94</v>
      </c>
      <c r="E58" s="28" t="s">
        <v>95</v>
      </c>
      <c r="F58" s="109">
        <v>1.353886517E9</v>
      </c>
      <c r="G58" s="109">
        <v>1.350086917E9</v>
      </c>
      <c r="H58" s="109">
        <v>1.326280267E9</v>
      </c>
      <c r="I58" s="109">
        <v>2.09987376E9</v>
      </c>
      <c r="J58" s="109">
        <v>2.09987376E9</v>
      </c>
      <c r="K58" s="109">
        <v>2.09987376E9</v>
      </c>
      <c r="L58" s="110" t="str">
        <f t="shared" ref="L58:N58" si="55">F58/I58</f>
        <v>0.64475</v>
      </c>
      <c r="M58" s="110" t="str">
        <f t="shared" si="55"/>
        <v>0.64294</v>
      </c>
      <c r="N58" s="110" t="str">
        <f t="shared" si="55"/>
        <v>0.63160</v>
      </c>
    </row>
    <row r="59" ht="14.25" customHeight="1">
      <c r="L59" s="102"/>
      <c r="M59" s="102"/>
      <c r="N59" s="102"/>
    </row>
    <row r="60" ht="14.25" customHeight="1">
      <c r="L60" s="102"/>
      <c r="M60" s="102"/>
      <c r="N60" s="102"/>
    </row>
    <row r="61" ht="14.25" customHeight="1">
      <c r="L61" s="102"/>
      <c r="M61" s="102"/>
      <c r="N61" s="102"/>
    </row>
    <row r="62" ht="14.25" customHeight="1">
      <c r="L62" s="102"/>
      <c r="M62" s="102"/>
      <c r="N62" s="102"/>
    </row>
    <row r="63" ht="14.25" customHeight="1">
      <c r="L63" s="102"/>
      <c r="M63" s="102"/>
      <c r="N63" s="102"/>
    </row>
    <row r="64" ht="14.25" customHeight="1">
      <c r="L64" s="102"/>
      <c r="M64" s="102"/>
      <c r="N64" s="102"/>
    </row>
    <row r="65" ht="14.25" customHeight="1">
      <c r="L65" s="102"/>
      <c r="M65" s="102"/>
      <c r="N65" s="102"/>
    </row>
    <row r="66" ht="14.25" customHeight="1">
      <c r="L66" s="102"/>
      <c r="M66" s="102"/>
      <c r="N66" s="102"/>
    </row>
    <row r="67" ht="14.25" customHeight="1">
      <c r="L67" s="102"/>
      <c r="M67" s="102"/>
      <c r="N67" s="102"/>
    </row>
    <row r="68" ht="14.25" customHeight="1">
      <c r="L68" s="102"/>
      <c r="M68" s="102"/>
      <c r="N68" s="102"/>
    </row>
    <row r="69" ht="14.25" customHeight="1">
      <c r="L69" s="102"/>
      <c r="M69" s="102"/>
      <c r="N69" s="102"/>
    </row>
    <row r="70" ht="14.25" customHeight="1">
      <c r="L70" s="102"/>
      <c r="M70" s="102"/>
      <c r="N70" s="102"/>
    </row>
    <row r="71" ht="14.25" customHeight="1">
      <c r="L71" s="102"/>
      <c r="M71" s="102"/>
      <c r="N71" s="102"/>
    </row>
    <row r="72" ht="14.25" customHeight="1">
      <c r="L72" s="102"/>
      <c r="M72" s="102"/>
      <c r="N72" s="102"/>
    </row>
    <row r="73" ht="14.25" customHeight="1">
      <c r="L73" s="102"/>
      <c r="M73" s="102"/>
      <c r="N73" s="102"/>
    </row>
    <row r="74" ht="14.25" customHeight="1">
      <c r="L74" s="102"/>
      <c r="M74" s="102"/>
      <c r="N74" s="102"/>
    </row>
    <row r="75" ht="14.25" customHeight="1">
      <c r="L75" s="102"/>
      <c r="M75" s="102"/>
      <c r="N75" s="102"/>
    </row>
    <row r="76" ht="14.25" customHeight="1">
      <c r="L76" s="102"/>
      <c r="M76" s="102"/>
      <c r="N76" s="102"/>
    </row>
    <row r="77" ht="14.25" customHeight="1">
      <c r="L77" s="102"/>
      <c r="M77" s="102"/>
      <c r="N77" s="102"/>
    </row>
    <row r="78" ht="14.25" customHeight="1">
      <c r="L78" s="102"/>
      <c r="M78" s="102"/>
      <c r="N78" s="102"/>
    </row>
    <row r="79" ht="14.25" customHeight="1">
      <c r="L79" s="102"/>
      <c r="M79" s="102"/>
      <c r="N79" s="102"/>
    </row>
    <row r="80" ht="14.25" customHeight="1">
      <c r="L80" s="102"/>
      <c r="M80" s="102"/>
      <c r="N80" s="102"/>
    </row>
    <row r="81" ht="14.25" customHeight="1">
      <c r="L81" s="102"/>
      <c r="M81" s="102"/>
      <c r="N81" s="102"/>
    </row>
    <row r="82" ht="14.25" customHeight="1">
      <c r="L82" s="102"/>
      <c r="M82" s="102"/>
      <c r="N82" s="102"/>
    </row>
    <row r="83" ht="14.25" customHeight="1">
      <c r="L83" s="102"/>
      <c r="M83" s="102"/>
      <c r="N83" s="102"/>
    </row>
    <row r="84" ht="14.25" customHeight="1">
      <c r="L84" s="102"/>
      <c r="M84" s="102"/>
      <c r="N84" s="102"/>
    </row>
    <row r="85" ht="14.25" customHeight="1">
      <c r="L85" s="102"/>
      <c r="M85" s="102"/>
      <c r="N85" s="102"/>
    </row>
    <row r="86" ht="14.25" customHeight="1">
      <c r="L86" s="102"/>
      <c r="M86" s="102"/>
      <c r="N86" s="102"/>
    </row>
    <row r="87" ht="14.25" customHeight="1">
      <c r="L87" s="102"/>
      <c r="M87" s="102"/>
      <c r="N87" s="102"/>
    </row>
    <row r="88" ht="14.25" customHeight="1">
      <c r="L88" s="102"/>
      <c r="M88" s="102"/>
      <c r="N88" s="102"/>
    </row>
    <row r="89" ht="14.25" customHeight="1">
      <c r="L89" s="102"/>
      <c r="M89" s="102"/>
      <c r="N89" s="102"/>
    </row>
    <row r="90" ht="14.25" customHeight="1">
      <c r="L90" s="102"/>
      <c r="M90" s="102"/>
      <c r="N90" s="102"/>
    </row>
    <row r="91" ht="14.25" customHeight="1">
      <c r="L91" s="102"/>
      <c r="M91" s="102"/>
      <c r="N91" s="102"/>
    </row>
    <row r="92" ht="14.25" customHeight="1">
      <c r="L92" s="102"/>
      <c r="M92" s="102"/>
      <c r="N92" s="102"/>
    </row>
    <row r="93" ht="14.25" customHeight="1">
      <c r="L93" s="102"/>
      <c r="M93" s="102"/>
      <c r="N93" s="102"/>
    </row>
    <row r="94" ht="14.25" customHeight="1">
      <c r="L94" s="102"/>
      <c r="M94" s="102"/>
      <c r="N94" s="102"/>
    </row>
    <row r="95" ht="14.25" customHeight="1">
      <c r="L95" s="102"/>
      <c r="M95" s="102"/>
      <c r="N95" s="102"/>
    </row>
    <row r="96" ht="14.25" customHeight="1">
      <c r="L96" s="102"/>
      <c r="M96" s="102"/>
      <c r="N96" s="102"/>
    </row>
    <row r="97" ht="14.25" customHeight="1">
      <c r="L97" s="102"/>
      <c r="M97" s="102"/>
      <c r="N97" s="102"/>
    </row>
    <row r="98" ht="14.25" customHeight="1">
      <c r="L98" s="102"/>
      <c r="M98" s="102"/>
      <c r="N98" s="102"/>
    </row>
    <row r="99" ht="14.25" customHeight="1">
      <c r="L99" s="102"/>
      <c r="M99" s="102"/>
      <c r="N99" s="102"/>
    </row>
    <row r="100" ht="14.25" customHeight="1">
      <c r="L100" s="102"/>
      <c r="M100" s="102"/>
      <c r="N100" s="102"/>
    </row>
    <row r="101" ht="14.25" customHeight="1">
      <c r="L101" s="102"/>
      <c r="M101" s="102"/>
      <c r="N101" s="102"/>
    </row>
    <row r="102" ht="14.25" customHeight="1">
      <c r="L102" s="102"/>
      <c r="M102" s="102"/>
      <c r="N102" s="102"/>
    </row>
    <row r="103" ht="14.25" customHeight="1">
      <c r="L103" s="102"/>
      <c r="M103" s="102"/>
      <c r="N103" s="102"/>
    </row>
    <row r="104" ht="14.25" customHeight="1">
      <c r="L104" s="102"/>
      <c r="M104" s="102"/>
      <c r="N104" s="102"/>
    </row>
    <row r="105" ht="14.25" customHeight="1">
      <c r="L105" s="102"/>
      <c r="M105" s="102"/>
      <c r="N105" s="102"/>
    </row>
    <row r="106" ht="14.25" customHeight="1">
      <c r="L106" s="102"/>
      <c r="M106" s="102"/>
      <c r="N106" s="102"/>
    </row>
    <row r="107" ht="14.25" customHeight="1">
      <c r="L107" s="102"/>
      <c r="M107" s="102"/>
      <c r="N107" s="102"/>
    </row>
    <row r="108" ht="14.25" customHeight="1">
      <c r="L108" s="102"/>
      <c r="M108" s="102"/>
      <c r="N108" s="102"/>
    </row>
    <row r="109" ht="14.25" customHeight="1">
      <c r="L109" s="102"/>
      <c r="M109" s="102"/>
      <c r="N109" s="102"/>
    </row>
    <row r="110" ht="14.25" customHeight="1">
      <c r="L110" s="102"/>
      <c r="M110" s="102"/>
      <c r="N110" s="102"/>
    </row>
    <row r="111" ht="14.25" customHeight="1">
      <c r="L111" s="102"/>
      <c r="M111" s="102"/>
      <c r="N111" s="102"/>
    </row>
    <row r="112" ht="14.25" customHeight="1">
      <c r="L112" s="102"/>
      <c r="M112" s="102"/>
      <c r="N112" s="102"/>
    </row>
    <row r="113" ht="14.25" customHeight="1">
      <c r="L113" s="102"/>
      <c r="M113" s="102"/>
      <c r="N113" s="102"/>
    </row>
    <row r="114" ht="14.25" customHeight="1">
      <c r="L114" s="102"/>
      <c r="M114" s="102"/>
      <c r="N114" s="102"/>
    </row>
    <row r="115" ht="14.25" customHeight="1">
      <c r="L115" s="102"/>
      <c r="M115" s="102"/>
      <c r="N115" s="102"/>
    </row>
    <row r="116" ht="14.25" customHeight="1">
      <c r="L116" s="102"/>
      <c r="M116" s="102"/>
      <c r="N116" s="102"/>
    </row>
    <row r="117" ht="14.25" customHeight="1">
      <c r="L117" s="102"/>
      <c r="M117" s="102"/>
      <c r="N117" s="102"/>
    </row>
    <row r="118" ht="14.25" customHeight="1">
      <c r="L118" s="102"/>
      <c r="M118" s="102"/>
      <c r="N118" s="102"/>
    </row>
    <row r="119" ht="14.25" customHeight="1">
      <c r="L119" s="102"/>
      <c r="M119" s="102"/>
      <c r="N119" s="102"/>
    </row>
    <row r="120" ht="14.25" customHeight="1">
      <c r="L120" s="102"/>
      <c r="M120" s="102"/>
      <c r="N120" s="102"/>
    </row>
    <row r="121" ht="14.25" customHeight="1">
      <c r="L121" s="102"/>
      <c r="M121" s="102"/>
      <c r="N121" s="102"/>
    </row>
    <row r="122" ht="14.25" customHeight="1">
      <c r="L122" s="102"/>
      <c r="M122" s="102"/>
      <c r="N122" s="102"/>
    </row>
    <row r="123" ht="14.25" customHeight="1">
      <c r="L123" s="102"/>
      <c r="M123" s="102"/>
      <c r="N123" s="102"/>
    </row>
    <row r="124" ht="14.25" customHeight="1">
      <c r="L124" s="102"/>
      <c r="M124" s="102"/>
      <c r="N124" s="102"/>
    </row>
    <row r="125" ht="14.25" customHeight="1">
      <c r="L125" s="102"/>
      <c r="M125" s="102"/>
      <c r="N125" s="102"/>
    </row>
    <row r="126" ht="14.25" customHeight="1">
      <c r="L126" s="102"/>
      <c r="M126" s="102"/>
      <c r="N126" s="102"/>
    </row>
    <row r="127" ht="14.25" customHeight="1">
      <c r="L127" s="102"/>
      <c r="M127" s="102"/>
      <c r="N127" s="102"/>
    </row>
    <row r="128" ht="14.25" customHeight="1">
      <c r="L128" s="102"/>
      <c r="M128" s="102"/>
      <c r="N128" s="102"/>
    </row>
    <row r="129" ht="14.25" customHeight="1">
      <c r="L129" s="102"/>
      <c r="M129" s="102"/>
      <c r="N129" s="102"/>
    </row>
    <row r="130" ht="14.25" customHeight="1">
      <c r="L130" s="102"/>
      <c r="M130" s="102"/>
      <c r="N130" s="102"/>
    </row>
    <row r="131" ht="14.25" customHeight="1">
      <c r="L131" s="102"/>
      <c r="M131" s="102"/>
      <c r="N131" s="102"/>
    </row>
    <row r="132" ht="14.25" customHeight="1">
      <c r="L132" s="102"/>
      <c r="M132" s="102"/>
      <c r="N132" s="102"/>
    </row>
    <row r="133" ht="14.25" customHeight="1">
      <c r="L133" s="102"/>
      <c r="M133" s="102"/>
      <c r="N133" s="102"/>
    </row>
    <row r="134" ht="14.25" customHeight="1">
      <c r="L134" s="102"/>
      <c r="M134" s="102"/>
      <c r="N134" s="102"/>
    </row>
    <row r="135" ht="14.25" customHeight="1">
      <c r="L135" s="102"/>
      <c r="M135" s="102"/>
      <c r="N135" s="102"/>
    </row>
    <row r="136" ht="14.25" customHeight="1">
      <c r="L136" s="102"/>
      <c r="M136" s="102"/>
      <c r="N136" s="102"/>
    </row>
    <row r="137" ht="14.25" customHeight="1">
      <c r="L137" s="102"/>
      <c r="M137" s="102"/>
      <c r="N137" s="102"/>
    </row>
    <row r="138" ht="14.25" customHeight="1">
      <c r="L138" s="102"/>
      <c r="M138" s="102"/>
      <c r="N138" s="102"/>
    </row>
    <row r="139" ht="14.25" customHeight="1">
      <c r="L139" s="102"/>
      <c r="M139" s="102"/>
      <c r="N139" s="102"/>
    </row>
    <row r="140" ht="14.25" customHeight="1">
      <c r="L140" s="102"/>
      <c r="M140" s="102"/>
      <c r="N140" s="102"/>
    </row>
    <row r="141" ht="14.25" customHeight="1">
      <c r="L141" s="102"/>
      <c r="M141" s="102"/>
      <c r="N141" s="102"/>
    </row>
    <row r="142" ht="14.25" customHeight="1">
      <c r="L142" s="102"/>
      <c r="M142" s="102"/>
      <c r="N142" s="102"/>
    </row>
    <row r="143" ht="14.25" customHeight="1">
      <c r="L143" s="102"/>
      <c r="M143" s="102"/>
      <c r="N143" s="102"/>
    </row>
    <row r="144" ht="14.25" customHeight="1">
      <c r="L144" s="102"/>
      <c r="M144" s="102"/>
      <c r="N144" s="102"/>
    </row>
    <row r="145" ht="14.25" customHeight="1">
      <c r="L145" s="102"/>
      <c r="M145" s="102"/>
      <c r="N145" s="102"/>
    </row>
    <row r="146" ht="14.25" customHeight="1">
      <c r="L146" s="102"/>
      <c r="M146" s="102"/>
      <c r="N146" s="102"/>
    </row>
    <row r="147" ht="14.25" customHeight="1">
      <c r="L147" s="102"/>
      <c r="M147" s="102"/>
      <c r="N147" s="102"/>
    </row>
    <row r="148" ht="14.25" customHeight="1">
      <c r="L148" s="102"/>
      <c r="M148" s="102"/>
      <c r="N148" s="102"/>
    </row>
    <row r="149" ht="14.25" customHeight="1">
      <c r="L149" s="102"/>
      <c r="M149" s="102"/>
      <c r="N149" s="102"/>
    </row>
    <row r="150" ht="14.25" customHeight="1">
      <c r="L150" s="102"/>
      <c r="M150" s="102"/>
      <c r="N150" s="102"/>
    </row>
    <row r="151" ht="14.25" customHeight="1">
      <c r="L151" s="102"/>
      <c r="M151" s="102"/>
      <c r="N151" s="102"/>
    </row>
    <row r="152" ht="14.25" customHeight="1">
      <c r="L152" s="102"/>
      <c r="M152" s="102"/>
      <c r="N152" s="102"/>
    </row>
    <row r="153" ht="14.25" customHeight="1">
      <c r="L153" s="102"/>
      <c r="M153" s="102"/>
      <c r="N153" s="102"/>
    </row>
    <row r="154" ht="14.25" customHeight="1">
      <c r="L154" s="102"/>
      <c r="M154" s="102"/>
      <c r="N154" s="102"/>
    </row>
    <row r="155" ht="14.25" customHeight="1">
      <c r="L155" s="102"/>
      <c r="M155" s="102"/>
      <c r="N155" s="102"/>
    </row>
    <row r="156" ht="14.25" customHeight="1">
      <c r="L156" s="102"/>
      <c r="M156" s="102"/>
      <c r="N156" s="102"/>
    </row>
    <row r="157" ht="14.25" customHeight="1">
      <c r="L157" s="102"/>
      <c r="M157" s="102"/>
      <c r="N157" s="102"/>
    </row>
    <row r="158" ht="14.25" customHeight="1">
      <c r="L158" s="102"/>
      <c r="M158" s="102"/>
      <c r="N158" s="102"/>
    </row>
    <row r="159" ht="14.25" customHeight="1">
      <c r="L159" s="102"/>
      <c r="M159" s="102"/>
      <c r="N159" s="102"/>
    </row>
    <row r="160" ht="14.25" customHeight="1">
      <c r="L160" s="102"/>
      <c r="M160" s="102"/>
      <c r="N160" s="102"/>
    </row>
    <row r="161" ht="14.25" customHeight="1">
      <c r="L161" s="102"/>
      <c r="M161" s="102"/>
      <c r="N161" s="102"/>
    </row>
    <row r="162" ht="14.25" customHeight="1">
      <c r="L162" s="102"/>
      <c r="M162" s="102"/>
      <c r="N162" s="102"/>
    </row>
    <row r="163" ht="14.25" customHeight="1">
      <c r="L163" s="102"/>
      <c r="M163" s="102"/>
      <c r="N163" s="102"/>
    </row>
    <row r="164" ht="14.25" customHeight="1">
      <c r="L164" s="102"/>
      <c r="M164" s="102"/>
      <c r="N164" s="102"/>
    </row>
    <row r="165" ht="14.25" customHeight="1">
      <c r="L165" s="102"/>
      <c r="M165" s="102"/>
      <c r="N165" s="102"/>
    </row>
    <row r="166" ht="14.25" customHeight="1">
      <c r="L166" s="102"/>
      <c r="M166" s="102"/>
      <c r="N166" s="102"/>
    </row>
    <row r="167" ht="14.25" customHeight="1">
      <c r="L167" s="102"/>
      <c r="M167" s="102"/>
      <c r="N167" s="102"/>
    </row>
    <row r="168" ht="14.25" customHeight="1">
      <c r="L168" s="102"/>
      <c r="M168" s="102"/>
      <c r="N168" s="102"/>
    </row>
    <row r="169" ht="14.25" customHeight="1">
      <c r="L169" s="102"/>
      <c r="M169" s="102"/>
      <c r="N169" s="102"/>
    </row>
    <row r="170" ht="14.25" customHeight="1">
      <c r="L170" s="102"/>
      <c r="M170" s="102"/>
      <c r="N170" s="102"/>
    </row>
    <row r="171" ht="14.25" customHeight="1">
      <c r="L171" s="102"/>
      <c r="M171" s="102"/>
      <c r="N171" s="102"/>
    </row>
    <row r="172" ht="14.25" customHeight="1">
      <c r="L172" s="102"/>
      <c r="M172" s="102"/>
      <c r="N172" s="102"/>
    </row>
    <row r="173" ht="14.25" customHeight="1">
      <c r="L173" s="102"/>
      <c r="M173" s="102"/>
      <c r="N173" s="102"/>
    </row>
    <row r="174" ht="14.25" customHeight="1">
      <c r="L174" s="102"/>
      <c r="M174" s="102"/>
      <c r="N174" s="102"/>
    </row>
    <row r="175" ht="14.25" customHeight="1">
      <c r="L175" s="102"/>
      <c r="M175" s="102"/>
      <c r="N175" s="102"/>
    </row>
    <row r="176" ht="14.25" customHeight="1">
      <c r="L176" s="102"/>
      <c r="M176" s="102"/>
      <c r="N176" s="102"/>
    </row>
    <row r="177" ht="14.25" customHeight="1">
      <c r="L177" s="102"/>
      <c r="M177" s="102"/>
      <c r="N177" s="102"/>
    </row>
    <row r="178" ht="14.25" customHeight="1">
      <c r="L178" s="102"/>
      <c r="M178" s="102"/>
      <c r="N178" s="102"/>
    </row>
    <row r="179" ht="14.25" customHeight="1">
      <c r="L179" s="102"/>
      <c r="M179" s="102"/>
      <c r="N179" s="102"/>
    </row>
    <row r="180" ht="14.25" customHeight="1">
      <c r="L180" s="102"/>
      <c r="M180" s="102"/>
      <c r="N180" s="102"/>
    </row>
    <row r="181" ht="14.25" customHeight="1">
      <c r="L181" s="102"/>
      <c r="M181" s="102"/>
      <c r="N181" s="102"/>
    </row>
    <row r="182" ht="14.25" customHeight="1">
      <c r="L182" s="102"/>
      <c r="M182" s="102"/>
      <c r="N182" s="102"/>
    </row>
    <row r="183" ht="14.25" customHeight="1">
      <c r="L183" s="102"/>
      <c r="M183" s="102"/>
      <c r="N183" s="102"/>
    </row>
    <row r="184" ht="14.25" customHeight="1">
      <c r="L184" s="102"/>
      <c r="M184" s="102"/>
      <c r="N184" s="102"/>
    </row>
    <row r="185" ht="14.25" customHeight="1">
      <c r="L185" s="102"/>
      <c r="M185" s="102"/>
      <c r="N185" s="102"/>
    </row>
    <row r="186" ht="14.25" customHeight="1">
      <c r="L186" s="102"/>
      <c r="M186" s="102"/>
      <c r="N186" s="102"/>
    </row>
    <row r="187" ht="14.25" customHeight="1">
      <c r="L187" s="102"/>
      <c r="M187" s="102"/>
      <c r="N187" s="102"/>
    </row>
    <row r="188" ht="14.25" customHeight="1">
      <c r="L188" s="102"/>
      <c r="M188" s="102"/>
      <c r="N188" s="102"/>
    </row>
    <row r="189" ht="14.25" customHeight="1">
      <c r="L189" s="102"/>
      <c r="M189" s="102"/>
      <c r="N189" s="102"/>
    </row>
    <row r="190" ht="14.25" customHeight="1">
      <c r="L190" s="102"/>
      <c r="M190" s="102"/>
      <c r="N190" s="102"/>
    </row>
    <row r="191" ht="14.25" customHeight="1">
      <c r="L191" s="102"/>
      <c r="M191" s="102"/>
      <c r="N191" s="102"/>
    </row>
    <row r="192" ht="14.25" customHeight="1">
      <c r="L192" s="102"/>
      <c r="M192" s="102"/>
      <c r="N192" s="102"/>
    </row>
    <row r="193" ht="14.25" customHeight="1">
      <c r="L193" s="102"/>
      <c r="M193" s="102"/>
      <c r="N193" s="102"/>
    </row>
    <row r="194" ht="14.25" customHeight="1">
      <c r="L194" s="102"/>
      <c r="M194" s="102"/>
      <c r="N194" s="102"/>
    </row>
    <row r="195" ht="14.25" customHeight="1">
      <c r="L195" s="102"/>
      <c r="M195" s="102"/>
      <c r="N195" s="102"/>
    </row>
    <row r="196" ht="14.25" customHeight="1">
      <c r="L196" s="102"/>
      <c r="M196" s="102"/>
      <c r="N196" s="102"/>
    </row>
    <row r="197" ht="14.25" customHeight="1">
      <c r="L197" s="102"/>
      <c r="M197" s="102"/>
      <c r="N197" s="102"/>
    </row>
    <row r="198" ht="14.25" customHeight="1">
      <c r="L198" s="102"/>
      <c r="M198" s="102"/>
      <c r="N198" s="102"/>
    </row>
    <row r="199" ht="14.25" customHeight="1">
      <c r="L199" s="102"/>
      <c r="M199" s="102"/>
      <c r="N199" s="102"/>
    </row>
    <row r="200" ht="14.25" customHeight="1">
      <c r="L200" s="102"/>
      <c r="M200" s="102"/>
      <c r="N200" s="102"/>
    </row>
    <row r="201" ht="14.25" customHeight="1">
      <c r="L201" s="102"/>
      <c r="M201" s="102"/>
      <c r="N201" s="102"/>
    </row>
    <row r="202" ht="14.25" customHeight="1">
      <c r="L202" s="102"/>
      <c r="M202" s="102"/>
      <c r="N202" s="102"/>
    </row>
    <row r="203" ht="14.25" customHeight="1">
      <c r="L203" s="102"/>
      <c r="M203" s="102"/>
      <c r="N203" s="102"/>
    </row>
    <row r="204" ht="14.25" customHeight="1">
      <c r="L204" s="102"/>
      <c r="M204" s="102"/>
      <c r="N204" s="102"/>
    </row>
    <row r="205" ht="14.25" customHeight="1">
      <c r="L205" s="102"/>
      <c r="M205" s="102"/>
      <c r="N205" s="102"/>
    </row>
    <row r="206" ht="14.25" customHeight="1">
      <c r="L206" s="102"/>
      <c r="M206" s="102"/>
      <c r="N206" s="102"/>
    </row>
    <row r="207" ht="14.25" customHeight="1">
      <c r="L207" s="102"/>
      <c r="M207" s="102"/>
      <c r="N207" s="102"/>
    </row>
    <row r="208" ht="14.25" customHeight="1">
      <c r="L208" s="102"/>
      <c r="M208" s="102"/>
      <c r="N208" s="102"/>
    </row>
    <row r="209" ht="14.25" customHeight="1">
      <c r="L209" s="102"/>
      <c r="M209" s="102"/>
      <c r="N209" s="102"/>
    </row>
    <row r="210" ht="14.25" customHeight="1">
      <c r="L210" s="102"/>
      <c r="M210" s="102"/>
      <c r="N210" s="102"/>
    </row>
    <row r="211" ht="14.25" customHeight="1">
      <c r="L211" s="102"/>
      <c r="M211" s="102"/>
      <c r="N211" s="102"/>
    </row>
    <row r="212" ht="14.25" customHeight="1">
      <c r="L212" s="102"/>
      <c r="M212" s="102"/>
      <c r="N212" s="102"/>
    </row>
    <row r="213" ht="14.25" customHeight="1">
      <c r="L213" s="102"/>
      <c r="M213" s="102"/>
      <c r="N213" s="102"/>
    </row>
    <row r="214" ht="14.25" customHeight="1">
      <c r="L214" s="102"/>
      <c r="M214" s="102"/>
      <c r="N214" s="102"/>
    </row>
    <row r="215" ht="14.25" customHeight="1">
      <c r="L215" s="102"/>
      <c r="M215" s="102"/>
      <c r="N215" s="102"/>
    </row>
    <row r="216" ht="14.25" customHeight="1">
      <c r="L216" s="102"/>
      <c r="M216" s="102"/>
      <c r="N216" s="102"/>
    </row>
    <row r="217" ht="14.25" customHeight="1">
      <c r="L217" s="102"/>
      <c r="M217" s="102"/>
      <c r="N217" s="102"/>
    </row>
    <row r="218" ht="14.25" customHeight="1">
      <c r="L218" s="102"/>
      <c r="M218" s="102"/>
      <c r="N218" s="102"/>
    </row>
    <row r="219" ht="14.25" customHeight="1">
      <c r="L219" s="102"/>
      <c r="M219" s="102"/>
      <c r="N219" s="102"/>
    </row>
    <row r="220" ht="14.25" customHeight="1">
      <c r="L220" s="102"/>
      <c r="M220" s="102"/>
      <c r="N220" s="102"/>
    </row>
    <row r="221" ht="14.25" customHeight="1">
      <c r="L221" s="102"/>
      <c r="M221" s="102"/>
      <c r="N221" s="102"/>
    </row>
    <row r="222" ht="14.25" customHeight="1">
      <c r="L222" s="102"/>
      <c r="M222" s="102"/>
      <c r="N222" s="102"/>
    </row>
    <row r="223" ht="14.25" customHeight="1">
      <c r="L223" s="102"/>
      <c r="M223" s="102"/>
      <c r="N223" s="102"/>
    </row>
    <row r="224" ht="14.25" customHeight="1">
      <c r="L224" s="102"/>
      <c r="M224" s="102"/>
      <c r="N224" s="102"/>
    </row>
    <row r="225" ht="14.25" customHeight="1">
      <c r="L225" s="102"/>
      <c r="M225" s="102"/>
      <c r="N225" s="102"/>
    </row>
    <row r="226" ht="14.25" customHeight="1">
      <c r="L226" s="102"/>
      <c r="M226" s="102"/>
      <c r="N226" s="102"/>
    </row>
    <row r="227" ht="14.25" customHeight="1">
      <c r="L227" s="102"/>
      <c r="M227" s="102"/>
      <c r="N227" s="102"/>
    </row>
    <row r="228" ht="14.25" customHeight="1">
      <c r="L228" s="102"/>
      <c r="M228" s="102"/>
      <c r="N228" s="102"/>
    </row>
    <row r="229" ht="14.25" customHeight="1">
      <c r="L229" s="102"/>
      <c r="M229" s="102"/>
      <c r="N229" s="102"/>
    </row>
    <row r="230" ht="14.25" customHeight="1">
      <c r="L230" s="102"/>
      <c r="M230" s="102"/>
      <c r="N230" s="102"/>
    </row>
    <row r="231" ht="14.25" customHeight="1">
      <c r="L231" s="102"/>
      <c r="M231" s="102"/>
      <c r="N231" s="102"/>
    </row>
    <row r="232" ht="14.25" customHeight="1">
      <c r="L232" s="102"/>
      <c r="M232" s="102"/>
      <c r="N232" s="102"/>
    </row>
    <row r="233" ht="14.25" customHeight="1">
      <c r="L233" s="102"/>
      <c r="M233" s="102"/>
      <c r="N233" s="102"/>
    </row>
    <row r="234" ht="14.25" customHeight="1">
      <c r="L234" s="102"/>
      <c r="M234" s="102"/>
      <c r="N234" s="102"/>
    </row>
    <row r="235" ht="14.25" customHeight="1">
      <c r="L235" s="102"/>
      <c r="M235" s="102"/>
      <c r="N235" s="102"/>
    </row>
    <row r="236" ht="14.25" customHeight="1">
      <c r="L236" s="102"/>
      <c r="M236" s="102"/>
      <c r="N236" s="102"/>
    </row>
    <row r="237" ht="14.25" customHeight="1">
      <c r="L237" s="102"/>
      <c r="M237" s="102"/>
      <c r="N237" s="102"/>
    </row>
    <row r="238" ht="14.25" customHeight="1">
      <c r="L238" s="102"/>
      <c r="M238" s="102"/>
      <c r="N238" s="102"/>
    </row>
    <row r="239" ht="14.25" customHeight="1">
      <c r="L239" s="102"/>
      <c r="M239" s="102"/>
      <c r="N239" s="102"/>
    </row>
    <row r="240" ht="14.25" customHeight="1">
      <c r="L240" s="102"/>
      <c r="M240" s="102"/>
      <c r="N240" s="102"/>
    </row>
    <row r="241" ht="14.25" customHeight="1">
      <c r="L241" s="102"/>
      <c r="M241" s="102"/>
      <c r="N241" s="102"/>
    </row>
    <row r="242" ht="14.25" customHeight="1">
      <c r="L242" s="102"/>
      <c r="M242" s="102"/>
      <c r="N242" s="102"/>
    </row>
    <row r="243" ht="14.25" customHeight="1">
      <c r="L243" s="102"/>
      <c r="M243" s="102"/>
      <c r="N243" s="102"/>
    </row>
    <row r="244" ht="14.25" customHeight="1">
      <c r="L244" s="102"/>
      <c r="M244" s="102"/>
      <c r="N244" s="102"/>
    </row>
    <row r="245" ht="14.25" customHeight="1">
      <c r="L245" s="102"/>
      <c r="M245" s="102"/>
      <c r="N245" s="102"/>
    </row>
    <row r="246" ht="14.25" customHeight="1">
      <c r="L246" s="102"/>
      <c r="M246" s="102"/>
      <c r="N246" s="102"/>
    </row>
    <row r="247" ht="14.25" customHeight="1">
      <c r="L247" s="102"/>
      <c r="M247" s="102"/>
      <c r="N247" s="102"/>
    </row>
    <row r="248" ht="14.25" customHeight="1">
      <c r="L248" s="102"/>
      <c r="M248" s="102"/>
      <c r="N248" s="102"/>
    </row>
    <row r="249" ht="14.25" customHeight="1">
      <c r="L249" s="102"/>
      <c r="M249" s="102"/>
      <c r="N249" s="102"/>
    </row>
    <row r="250" ht="14.25" customHeight="1">
      <c r="L250" s="102"/>
      <c r="M250" s="102"/>
      <c r="N250" s="102"/>
    </row>
    <row r="251" ht="14.25" customHeight="1">
      <c r="L251" s="102"/>
      <c r="M251" s="102"/>
      <c r="N251" s="102"/>
    </row>
    <row r="252" ht="14.25" customHeight="1">
      <c r="L252" s="102"/>
      <c r="M252" s="102"/>
      <c r="N252" s="102"/>
    </row>
    <row r="253" ht="14.25" customHeight="1">
      <c r="L253" s="102"/>
      <c r="M253" s="102"/>
      <c r="N253" s="102"/>
    </row>
    <row r="254" ht="14.25" customHeight="1">
      <c r="L254" s="102"/>
      <c r="M254" s="102"/>
      <c r="N254" s="102"/>
    </row>
    <row r="255" ht="14.25" customHeight="1">
      <c r="L255" s="102"/>
      <c r="M255" s="102"/>
      <c r="N255" s="102"/>
    </row>
    <row r="256" ht="14.25" customHeight="1">
      <c r="L256" s="102"/>
      <c r="M256" s="102"/>
      <c r="N256" s="102"/>
    </row>
    <row r="257" ht="14.25" customHeight="1">
      <c r="L257" s="102"/>
      <c r="M257" s="102"/>
      <c r="N257" s="102"/>
    </row>
    <row r="258" ht="14.25" customHeight="1">
      <c r="L258" s="102"/>
      <c r="M258" s="102"/>
      <c r="N258" s="102"/>
    </row>
  </sheetData>
  <mergeCells count="5">
    <mergeCell ref="B3:E4"/>
    <mergeCell ref="F3:H3"/>
    <mergeCell ref="I3:K3"/>
    <mergeCell ref="L3:N3"/>
    <mergeCell ref="C5:C5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13.57"/>
    <col customWidth="1" min="4" max="4" width="8.71"/>
    <col customWidth="1" min="5" max="5" width="29.57"/>
    <col customWidth="1" min="6" max="8" width="8.71"/>
    <col customWidth="1" min="9" max="11" width="12.14"/>
    <col customWidth="1" min="12" max="13" width="8.71"/>
    <col customWidth="1" min="14" max="14" width="12.14"/>
    <col customWidth="1" min="15" max="15" width="8.71"/>
  </cols>
  <sheetData>
    <row r="1" ht="14.25" customHeight="1">
      <c r="I1" s="115"/>
      <c r="J1" s="115"/>
      <c r="K1" s="115"/>
    </row>
    <row r="2" ht="14.25" customHeight="1">
      <c r="I2" s="115"/>
      <c r="J2" s="115"/>
      <c r="K2" s="115"/>
    </row>
    <row r="3" ht="14.25" customHeight="1">
      <c r="B3" s="103" t="s">
        <v>312</v>
      </c>
      <c r="C3" s="104"/>
      <c r="D3" s="104"/>
      <c r="E3" s="42"/>
      <c r="F3" s="106" t="s">
        <v>313</v>
      </c>
      <c r="G3" s="91"/>
      <c r="H3" s="40"/>
      <c r="I3" s="116" t="s">
        <v>314</v>
      </c>
      <c r="J3" s="91"/>
      <c r="K3" s="40"/>
      <c r="N3" s="39" t="s">
        <v>315</v>
      </c>
      <c r="O3" s="40"/>
    </row>
    <row r="4" ht="14.25" customHeight="1">
      <c r="B4" s="44"/>
      <c r="C4" s="108"/>
      <c r="D4" s="108"/>
      <c r="E4" s="45"/>
      <c r="F4" s="29">
        <v>2022.0</v>
      </c>
      <c r="G4" s="29">
        <v>2023.0</v>
      </c>
      <c r="H4" s="29">
        <v>2024.0</v>
      </c>
      <c r="I4" s="29">
        <v>2022.0</v>
      </c>
      <c r="J4" s="29">
        <v>2023.0</v>
      </c>
      <c r="K4" s="29">
        <v>2024.0</v>
      </c>
      <c r="N4" s="28"/>
      <c r="O4" s="28"/>
    </row>
    <row r="5" ht="14.25" customHeight="1">
      <c r="B5" s="67">
        <v>1.0</v>
      </c>
      <c r="C5" s="68" t="s">
        <v>14</v>
      </c>
      <c r="D5" s="67" t="s">
        <v>15</v>
      </c>
      <c r="E5" s="71" t="s">
        <v>16</v>
      </c>
      <c r="F5" s="28">
        <v>3.0</v>
      </c>
      <c r="G5" s="28">
        <v>3.0</v>
      </c>
      <c r="H5" s="28">
        <v>3.0</v>
      </c>
      <c r="I5" s="117" t="str">
        <f t="shared" ref="I5:K5" si="1">F5</f>
        <v>  3.00000 </v>
      </c>
      <c r="J5" s="117" t="str">
        <f t="shared" si="1"/>
        <v>  3.00000 </v>
      </c>
      <c r="K5" s="117" t="str">
        <f t="shared" si="1"/>
        <v>  3.00000 </v>
      </c>
      <c r="N5" s="28"/>
      <c r="O5" s="28"/>
    </row>
    <row r="6" ht="14.25" customHeight="1">
      <c r="B6" s="67">
        <v>2.0</v>
      </c>
      <c r="C6" s="52"/>
      <c r="D6" s="67" t="s">
        <v>98</v>
      </c>
      <c r="E6" s="71" t="s">
        <v>99</v>
      </c>
      <c r="F6" s="28">
        <v>3.0</v>
      </c>
      <c r="G6" s="28">
        <v>3.0</v>
      </c>
      <c r="H6" s="28">
        <v>3.0</v>
      </c>
      <c r="I6" s="117" t="str">
        <f t="shared" ref="I6:K6" si="2">F6</f>
        <v>  3.00000 </v>
      </c>
      <c r="J6" s="117" t="str">
        <f t="shared" si="2"/>
        <v>  3.00000 </v>
      </c>
      <c r="K6" s="117" t="str">
        <f t="shared" si="2"/>
        <v>  3.00000 </v>
      </c>
      <c r="N6" s="28"/>
      <c r="O6" s="28"/>
    </row>
    <row r="7" ht="14.25" customHeight="1">
      <c r="B7" s="67">
        <v>3.0</v>
      </c>
      <c r="C7" s="52"/>
      <c r="D7" s="67" t="s">
        <v>78</v>
      </c>
      <c r="E7" s="71" t="s">
        <v>79</v>
      </c>
      <c r="F7" s="28">
        <v>3.0</v>
      </c>
      <c r="G7" s="28">
        <v>3.0</v>
      </c>
      <c r="H7" s="28">
        <v>3.0</v>
      </c>
      <c r="I7" s="117" t="str">
        <f t="shared" ref="I7:K7" si="3">F7</f>
        <v>  3.00000 </v>
      </c>
      <c r="J7" s="117" t="str">
        <f t="shared" si="3"/>
        <v>  3.00000 </v>
      </c>
      <c r="K7" s="117" t="str">
        <f t="shared" si="3"/>
        <v>  3.00000 </v>
      </c>
      <c r="N7" s="28"/>
      <c r="O7" s="28"/>
    </row>
    <row r="8" ht="14.25" customHeight="1">
      <c r="B8" s="67">
        <v>4.0</v>
      </c>
      <c r="C8" s="52"/>
      <c r="D8" s="67" t="s">
        <v>104</v>
      </c>
      <c r="E8" s="71" t="s">
        <v>105</v>
      </c>
      <c r="F8" s="28">
        <v>3.0</v>
      </c>
      <c r="G8" s="28">
        <v>3.0</v>
      </c>
      <c r="H8" s="28">
        <v>3.0</v>
      </c>
      <c r="I8" s="117" t="str">
        <f t="shared" ref="I8:K8" si="4">F8</f>
        <v>  3.00000 </v>
      </c>
      <c r="J8" s="117" t="str">
        <f t="shared" si="4"/>
        <v>  3.00000 </v>
      </c>
      <c r="K8" s="117" t="str">
        <f t="shared" si="4"/>
        <v>  3.00000 </v>
      </c>
      <c r="N8" s="28"/>
      <c r="O8" s="28"/>
    </row>
    <row r="9" ht="14.25" customHeight="1">
      <c r="B9" s="67">
        <v>5.0</v>
      </c>
      <c r="C9" s="52"/>
      <c r="D9" s="67" t="s">
        <v>18</v>
      </c>
      <c r="E9" s="71" t="s">
        <v>19</v>
      </c>
      <c r="F9" s="28">
        <v>3.0</v>
      </c>
      <c r="G9" s="28">
        <v>3.0</v>
      </c>
      <c r="H9" s="28">
        <v>3.0</v>
      </c>
      <c r="I9" s="117" t="str">
        <f t="shared" ref="I9:K9" si="5">F9</f>
        <v>  3.00000 </v>
      </c>
      <c r="J9" s="117" t="str">
        <f t="shared" si="5"/>
        <v>  3.00000 </v>
      </c>
      <c r="K9" s="117" t="str">
        <f t="shared" si="5"/>
        <v>  3.00000 </v>
      </c>
    </row>
    <row r="10" ht="14.25" customHeight="1">
      <c r="B10" s="67">
        <v>6.0</v>
      </c>
      <c r="C10" s="52"/>
      <c r="D10" s="67" t="s">
        <v>108</v>
      </c>
      <c r="E10" s="71" t="s">
        <v>109</v>
      </c>
      <c r="F10" s="28">
        <v>3.0</v>
      </c>
      <c r="G10" s="28">
        <v>3.0</v>
      </c>
      <c r="H10" s="28">
        <v>3.0</v>
      </c>
      <c r="I10" s="117" t="str">
        <f t="shared" ref="I10:K10" si="6">F10</f>
        <v>  3.00000 </v>
      </c>
      <c r="J10" s="117" t="str">
        <f t="shared" si="6"/>
        <v>  3.00000 </v>
      </c>
      <c r="K10" s="117" t="str">
        <f t="shared" si="6"/>
        <v>  3.00000 </v>
      </c>
    </row>
    <row r="11" ht="14.25" customHeight="1">
      <c r="B11" s="67">
        <v>7.0</v>
      </c>
      <c r="C11" s="52"/>
      <c r="D11" s="67" t="s">
        <v>222</v>
      </c>
      <c r="E11" s="71" t="s">
        <v>223</v>
      </c>
      <c r="F11" s="28">
        <v>3.0</v>
      </c>
      <c r="G11" s="28">
        <v>3.0</v>
      </c>
      <c r="H11" s="28">
        <v>3.0</v>
      </c>
      <c r="I11" s="117" t="str">
        <f t="shared" ref="I11:K11" si="7">F11</f>
        <v>  3.00000 </v>
      </c>
      <c r="J11" s="117" t="str">
        <f t="shared" si="7"/>
        <v>  3.00000 </v>
      </c>
      <c r="K11" s="117" t="str">
        <f t="shared" si="7"/>
        <v>  3.00000 </v>
      </c>
    </row>
    <row r="12" ht="14.25" customHeight="1">
      <c r="B12" s="67">
        <v>8.0</v>
      </c>
      <c r="C12" s="52"/>
      <c r="D12" s="67" t="s">
        <v>74</v>
      </c>
      <c r="E12" s="71" t="s">
        <v>75</v>
      </c>
      <c r="F12" s="28">
        <v>3.0</v>
      </c>
      <c r="G12" s="28">
        <v>3.0</v>
      </c>
      <c r="H12" s="28">
        <v>3.0</v>
      </c>
      <c r="I12" s="117" t="str">
        <f t="shared" ref="I12:K12" si="8">F12</f>
        <v>  3.00000 </v>
      </c>
      <c r="J12" s="117" t="str">
        <f t="shared" si="8"/>
        <v>  3.00000 </v>
      </c>
      <c r="K12" s="117" t="str">
        <f t="shared" si="8"/>
        <v>  3.00000 </v>
      </c>
    </row>
    <row r="13" ht="14.25" customHeight="1">
      <c r="B13" s="67">
        <v>9.0</v>
      </c>
      <c r="C13" s="52"/>
      <c r="D13" s="67" t="s">
        <v>28</v>
      </c>
      <c r="E13" s="71" t="s">
        <v>29</v>
      </c>
      <c r="F13" s="28">
        <v>3.0</v>
      </c>
      <c r="G13" s="28">
        <v>4.0</v>
      </c>
      <c r="H13" s="28">
        <v>4.0</v>
      </c>
      <c r="I13" s="117" t="str">
        <f t="shared" ref="I13:K13" si="9">F13</f>
        <v>  3.00000 </v>
      </c>
      <c r="J13" s="117" t="str">
        <f t="shared" si="9"/>
        <v>  4.00000 </v>
      </c>
      <c r="K13" s="117" t="str">
        <f t="shared" si="9"/>
        <v>  4.00000 </v>
      </c>
    </row>
    <row r="14" ht="14.25" customHeight="1">
      <c r="B14" s="67">
        <v>10.0</v>
      </c>
      <c r="C14" s="52"/>
      <c r="D14" s="67" t="s">
        <v>24</v>
      </c>
      <c r="E14" s="71" t="s">
        <v>25</v>
      </c>
      <c r="F14" s="28">
        <v>3.0</v>
      </c>
      <c r="G14" s="28">
        <v>3.0</v>
      </c>
      <c r="H14" s="28">
        <v>3.0</v>
      </c>
      <c r="I14" s="117" t="str">
        <f t="shared" ref="I14:K14" si="10">F14</f>
        <v>  3.00000 </v>
      </c>
      <c r="J14" s="117" t="str">
        <f t="shared" si="10"/>
        <v>  3.00000 </v>
      </c>
      <c r="K14" s="117" t="str">
        <f t="shared" si="10"/>
        <v>  3.00000 </v>
      </c>
    </row>
    <row r="15" ht="14.25" customHeight="1">
      <c r="B15" s="67">
        <v>11.0</v>
      </c>
      <c r="C15" s="52"/>
      <c r="D15" s="67" t="s">
        <v>110</v>
      </c>
      <c r="E15" s="71" t="s">
        <v>111</v>
      </c>
      <c r="F15" s="28">
        <v>3.0</v>
      </c>
      <c r="G15" s="28">
        <v>3.0</v>
      </c>
      <c r="H15" s="28">
        <v>3.0</v>
      </c>
      <c r="I15" s="117" t="str">
        <f t="shared" ref="I15:K15" si="11">F15</f>
        <v>  3.00000 </v>
      </c>
      <c r="J15" s="117" t="str">
        <f t="shared" si="11"/>
        <v>  3.00000 </v>
      </c>
      <c r="K15" s="117" t="str">
        <f t="shared" si="11"/>
        <v>  3.00000 </v>
      </c>
    </row>
    <row r="16" ht="14.25" customHeight="1">
      <c r="B16" s="67">
        <v>12.0</v>
      </c>
      <c r="C16" s="52"/>
      <c r="D16" s="67" t="s">
        <v>26</v>
      </c>
      <c r="E16" s="71" t="s">
        <v>27</v>
      </c>
      <c r="F16" s="28">
        <v>3.0</v>
      </c>
      <c r="G16" s="28">
        <v>3.0</v>
      </c>
      <c r="H16" s="28">
        <v>3.0</v>
      </c>
      <c r="I16" s="117" t="str">
        <f t="shared" ref="I16:K16" si="12">F16</f>
        <v>  3.00000 </v>
      </c>
      <c r="J16" s="117" t="str">
        <f t="shared" si="12"/>
        <v>  3.00000 </v>
      </c>
      <c r="K16" s="117" t="str">
        <f t="shared" si="12"/>
        <v>  3.00000 </v>
      </c>
    </row>
    <row r="17" ht="14.25" customHeight="1">
      <c r="B17" s="67">
        <v>13.0</v>
      </c>
      <c r="C17" s="52"/>
      <c r="D17" s="67" t="s">
        <v>30</v>
      </c>
      <c r="E17" s="71" t="s">
        <v>31</v>
      </c>
      <c r="F17" s="28">
        <v>3.0</v>
      </c>
      <c r="G17" s="28">
        <v>3.0</v>
      </c>
      <c r="H17" s="28">
        <v>3.0</v>
      </c>
      <c r="I17" s="117" t="str">
        <f t="shared" ref="I17:K17" si="13">F17</f>
        <v>  3.00000 </v>
      </c>
      <c r="J17" s="117" t="str">
        <f t="shared" si="13"/>
        <v>  3.00000 </v>
      </c>
      <c r="K17" s="117" t="str">
        <f t="shared" si="13"/>
        <v>  3.00000 </v>
      </c>
    </row>
    <row r="18" ht="14.25" customHeight="1">
      <c r="B18" s="67">
        <v>14.0</v>
      </c>
      <c r="C18" s="52"/>
      <c r="D18" s="67" t="s">
        <v>120</v>
      </c>
      <c r="E18" s="71" t="s">
        <v>121</v>
      </c>
      <c r="F18" s="28">
        <v>3.0</v>
      </c>
      <c r="G18" s="28">
        <v>3.0</v>
      </c>
      <c r="H18" s="28">
        <v>3.0</v>
      </c>
      <c r="I18" s="117" t="str">
        <f t="shared" ref="I18:K18" si="14">F18</f>
        <v>  3.00000 </v>
      </c>
      <c r="J18" s="117" t="str">
        <f t="shared" si="14"/>
        <v>  3.00000 </v>
      </c>
      <c r="K18" s="117" t="str">
        <f t="shared" si="14"/>
        <v>  3.00000 </v>
      </c>
    </row>
    <row r="19" ht="14.25" customHeight="1">
      <c r="B19" s="67">
        <v>15.0</v>
      </c>
      <c r="C19" s="52"/>
      <c r="D19" s="67" t="s">
        <v>118</v>
      </c>
      <c r="E19" s="71" t="s">
        <v>119</v>
      </c>
      <c r="F19" s="28">
        <v>3.0</v>
      </c>
      <c r="G19" s="28">
        <v>3.0</v>
      </c>
      <c r="H19" s="28">
        <v>3.0</v>
      </c>
      <c r="I19" s="117" t="str">
        <f t="shared" ref="I19:K19" si="15">F19</f>
        <v>  3.00000 </v>
      </c>
      <c r="J19" s="117" t="str">
        <f t="shared" si="15"/>
        <v>  3.00000 </v>
      </c>
      <c r="K19" s="117" t="str">
        <f t="shared" si="15"/>
        <v>  3.00000 </v>
      </c>
    </row>
    <row r="20" ht="14.25" customHeight="1">
      <c r="B20" s="67">
        <v>16.0</v>
      </c>
      <c r="C20" s="52"/>
      <c r="D20" s="67" t="s">
        <v>32</v>
      </c>
      <c r="E20" s="71" t="s">
        <v>33</v>
      </c>
      <c r="F20" s="28">
        <v>3.0</v>
      </c>
      <c r="G20" s="28">
        <v>3.0</v>
      </c>
      <c r="H20" s="28">
        <v>3.0</v>
      </c>
      <c r="I20" s="117" t="str">
        <f t="shared" ref="I20:K20" si="16">F20</f>
        <v>  3.00000 </v>
      </c>
      <c r="J20" s="117" t="str">
        <f t="shared" si="16"/>
        <v>  3.00000 </v>
      </c>
      <c r="K20" s="117" t="str">
        <f t="shared" si="16"/>
        <v>  3.00000 </v>
      </c>
    </row>
    <row r="21" ht="14.25" customHeight="1">
      <c r="B21" s="67">
        <v>17.0</v>
      </c>
      <c r="C21" s="52"/>
      <c r="D21" s="67" t="s">
        <v>126</v>
      </c>
      <c r="E21" s="71" t="s">
        <v>127</v>
      </c>
      <c r="F21" s="28">
        <v>3.0</v>
      </c>
      <c r="G21" s="28">
        <v>3.0</v>
      </c>
      <c r="H21" s="28">
        <v>3.0</v>
      </c>
      <c r="I21" s="117" t="str">
        <f t="shared" ref="I21:K21" si="17">F21</f>
        <v>  3.00000 </v>
      </c>
      <c r="J21" s="117" t="str">
        <f t="shared" si="17"/>
        <v>  3.00000 </v>
      </c>
      <c r="K21" s="117" t="str">
        <f t="shared" si="17"/>
        <v>  3.00000 </v>
      </c>
    </row>
    <row r="22" ht="14.25" customHeight="1">
      <c r="B22" s="67">
        <v>18.0</v>
      </c>
      <c r="C22" s="52"/>
      <c r="D22" s="67" t="s">
        <v>134</v>
      </c>
      <c r="E22" s="71" t="s">
        <v>135</v>
      </c>
      <c r="F22" s="28">
        <v>3.0</v>
      </c>
      <c r="G22" s="28">
        <v>3.0</v>
      </c>
      <c r="H22" s="28">
        <v>3.0</v>
      </c>
      <c r="I22" s="117" t="str">
        <f t="shared" ref="I22:K22" si="18">F22</f>
        <v>  3.00000 </v>
      </c>
      <c r="J22" s="117" t="str">
        <f t="shared" si="18"/>
        <v>  3.00000 </v>
      </c>
      <c r="K22" s="117" t="str">
        <f t="shared" si="18"/>
        <v>  3.00000 </v>
      </c>
    </row>
    <row r="23" ht="14.25" customHeight="1">
      <c r="B23" s="67">
        <v>19.0</v>
      </c>
      <c r="C23" s="52"/>
      <c r="D23" s="67" t="s">
        <v>234</v>
      </c>
      <c r="E23" s="71" t="s">
        <v>235</v>
      </c>
      <c r="F23" s="28">
        <v>3.0</v>
      </c>
      <c r="G23" s="28">
        <v>3.0</v>
      </c>
      <c r="H23" s="28">
        <v>3.0</v>
      </c>
      <c r="I23" s="117" t="str">
        <f t="shared" ref="I23:K23" si="19">F23</f>
        <v>  3.00000 </v>
      </c>
      <c r="J23" s="117" t="str">
        <f t="shared" si="19"/>
        <v>  3.00000 </v>
      </c>
      <c r="K23" s="117" t="str">
        <f t="shared" si="19"/>
        <v>  3.00000 </v>
      </c>
    </row>
    <row r="24" ht="14.25" customHeight="1">
      <c r="B24" s="67">
        <v>20.0</v>
      </c>
      <c r="C24" s="52"/>
      <c r="D24" s="67" t="s">
        <v>40</v>
      </c>
      <c r="E24" s="71" t="s">
        <v>41</v>
      </c>
      <c r="F24" s="28">
        <v>3.0</v>
      </c>
      <c r="G24" s="28">
        <v>3.0</v>
      </c>
      <c r="H24" s="28">
        <v>3.0</v>
      </c>
      <c r="I24" s="117" t="str">
        <f t="shared" ref="I24:K24" si="20">F24</f>
        <v>  3.00000 </v>
      </c>
      <c r="J24" s="117" t="str">
        <f t="shared" si="20"/>
        <v>  3.00000 </v>
      </c>
      <c r="K24" s="117" t="str">
        <f t="shared" si="20"/>
        <v>  3.00000 </v>
      </c>
    </row>
    <row r="25" ht="14.25" customHeight="1">
      <c r="B25" s="67">
        <v>21.0</v>
      </c>
      <c r="C25" s="52"/>
      <c r="D25" s="67" t="s">
        <v>38</v>
      </c>
      <c r="E25" s="71" t="s">
        <v>39</v>
      </c>
      <c r="F25" s="28">
        <v>3.0</v>
      </c>
      <c r="G25" s="28">
        <v>3.0</v>
      </c>
      <c r="H25" s="28">
        <v>3.0</v>
      </c>
      <c r="I25" s="117" t="str">
        <f t="shared" ref="I25:K25" si="21">F25</f>
        <v>  3.00000 </v>
      </c>
      <c r="J25" s="117" t="str">
        <f t="shared" si="21"/>
        <v>  3.00000 </v>
      </c>
      <c r="K25" s="117" t="str">
        <f t="shared" si="21"/>
        <v>  3.00000 </v>
      </c>
    </row>
    <row r="26" ht="14.25" customHeight="1">
      <c r="B26" s="67">
        <v>22.0</v>
      </c>
      <c r="C26" s="52"/>
      <c r="D26" s="67" t="s">
        <v>140</v>
      </c>
      <c r="E26" s="71" t="s">
        <v>141</v>
      </c>
      <c r="F26" s="28">
        <v>3.0</v>
      </c>
      <c r="G26" s="28">
        <v>3.0</v>
      </c>
      <c r="H26" s="28">
        <v>3.0</v>
      </c>
      <c r="I26" s="117" t="str">
        <f t="shared" ref="I26:K26" si="22">F26</f>
        <v>  3.00000 </v>
      </c>
      <c r="J26" s="117" t="str">
        <f t="shared" si="22"/>
        <v>  3.00000 </v>
      </c>
      <c r="K26" s="117" t="str">
        <f t="shared" si="22"/>
        <v>  3.00000 </v>
      </c>
    </row>
    <row r="27" ht="14.25" customHeight="1">
      <c r="B27" s="67">
        <v>23.0</v>
      </c>
      <c r="C27" s="52"/>
      <c r="D27" s="67" t="s">
        <v>42</v>
      </c>
      <c r="E27" s="71" t="s">
        <v>43</v>
      </c>
      <c r="F27" s="28">
        <v>3.0</v>
      </c>
      <c r="G27" s="28">
        <v>3.0</v>
      </c>
      <c r="H27" s="28">
        <v>3.0</v>
      </c>
      <c r="I27" s="117" t="str">
        <f t="shared" ref="I27:K27" si="23">F27</f>
        <v>  3.00000 </v>
      </c>
      <c r="J27" s="117" t="str">
        <f t="shared" si="23"/>
        <v>  3.00000 </v>
      </c>
      <c r="K27" s="117" t="str">
        <f t="shared" si="23"/>
        <v>  3.00000 </v>
      </c>
    </row>
    <row r="28" ht="14.25" customHeight="1">
      <c r="B28" s="67">
        <v>24.0</v>
      </c>
      <c r="C28" s="52"/>
      <c r="D28" s="67" t="s">
        <v>44</v>
      </c>
      <c r="E28" s="71" t="s">
        <v>45</v>
      </c>
      <c r="F28" s="28">
        <v>3.0</v>
      </c>
      <c r="G28" s="28">
        <v>3.0</v>
      </c>
      <c r="H28" s="28">
        <v>3.0</v>
      </c>
      <c r="I28" s="117" t="str">
        <f t="shared" ref="I28:K28" si="24">F28</f>
        <v>  3.00000 </v>
      </c>
      <c r="J28" s="117" t="str">
        <f t="shared" si="24"/>
        <v>  3.00000 </v>
      </c>
      <c r="K28" s="117" t="str">
        <f t="shared" si="24"/>
        <v>  3.00000 </v>
      </c>
    </row>
    <row r="29" ht="14.25" customHeight="1">
      <c r="B29" s="67">
        <v>25.0</v>
      </c>
      <c r="C29" s="52"/>
      <c r="D29" s="67" t="s">
        <v>46</v>
      </c>
      <c r="E29" s="71" t="s">
        <v>47</v>
      </c>
      <c r="F29" s="28">
        <v>3.0</v>
      </c>
      <c r="G29" s="28">
        <v>3.0</v>
      </c>
      <c r="H29" s="28">
        <v>3.0</v>
      </c>
      <c r="I29" s="117" t="str">
        <f t="shared" ref="I29:K29" si="25">F29</f>
        <v>  3.00000 </v>
      </c>
      <c r="J29" s="117" t="str">
        <f t="shared" si="25"/>
        <v>  3.00000 </v>
      </c>
      <c r="K29" s="117" t="str">
        <f t="shared" si="25"/>
        <v>  3.00000 </v>
      </c>
    </row>
    <row r="30" ht="14.25" customHeight="1">
      <c r="B30" s="67">
        <v>26.0</v>
      </c>
      <c r="C30" s="52"/>
      <c r="D30" s="67" t="s">
        <v>150</v>
      </c>
      <c r="E30" s="71" t="s">
        <v>151</v>
      </c>
      <c r="F30" s="28">
        <v>3.0</v>
      </c>
      <c r="G30" s="28">
        <v>3.0</v>
      </c>
      <c r="H30" s="28">
        <v>3.0</v>
      </c>
      <c r="I30" s="117" t="str">
        <f t="shared" ref="I30:K30" si="26">F30</f>
        <v>  3.00000 </v>
      </c>
      <c r="J30" s="117" t="str">
        <f t="shared" si="26"/>
        <v>  3.00000 </v>
      </c>
      <c r="K30" s="117" t="str">
        <f t="shared" si="26"/>
        <v>  3.00000 </v>
      </c>
    </row>
    <row r="31" ht="14.25" customHeight="1">
      <c r="B31" s="67">
        <v>27.0</v>
      </c>
      <c r="C31" s="52"/>
      <c r="D31" s="67" t="s">
        <v>48</v>
      </c>
      <c r="E31" s="71" t="s">
        <v>49</v>
      </c>
      <c r="F31" s="28">
        <v>3.0</v>
      </c>
      <c r="G31" s="28">
        <v>3.0</v>
      </c>
      <c r="H31" s="28">
        <v>3.0</v>
      </c>
      <c r="I31" s="117" t="str">
        <f t="shared" ref="I31:K31" si="27">F31</f>
        <v>  3.00000 </v>
      </c>
      <c r="J31" s="117" t="str">
        <f t="shared" si="27"/>
        <v>  3.00000 </v>
      </c>
      <c r="K31" s="117" t="str">
        <f t="shared" si="27"/>
        <v>  3.00000 </v>
      </c>
    </row>
    <row r="32" ht="14.25" customHeight="1">
      <c r="B32" s="67">
        <v>28.0</v>
      </c>
      <c r="C32" s="52"/>
      <c r="D32" s="67" t="s">
        <v>178</v>
      </c>
      <c r="E32" s="71" t="s">
        <v>179</v>
      </c>
      <c r="F32" s="28">
        <v>3.0</v>
      </c>
      <c r="G32" s="28">
        <v>3.0</v>
      </c>
      <c r="H32" s="28">
        <v>3.0</v>
      </c>
      <c r="I32" s="117" t="str">
        <f t="shared" ref="I32:K32" si="28">F32</f>
        <v>  3.00000 </v>
      </c>
      <c r="J32" s="117" t="str">
        <f t="shared" si="28"/>
        <v>  3.00000 </v>
      </c>
      <c r="K32" s="117" t="str">
        <f t="shared" si="28"/>
        <v>  3.00000 </v>
      </c>
    </row>
    <row r="33" ht="14.25" customHeight="1">
      <c r="B33" s="67">
        <v>29.0</v>
      </c>
      <c r="C33" s="52"/>
      <c r="D33" s="67" t="s">
        <v>162</v>
      </c>
      <c r="E33" s="71" t="s">
        <v>163</v>
      </c>
      <c r="F33" s="28">
        <v>3.0</v>
      </c>
      <c r="G33" s="28">
        <v>3.0</v>
      </c>
      <c r="H33" s="28">
        <v>3.0</v>
      </c>
      <c r="I33" s="117" t="str">
        <f t="shared" ref="I33:K33" si="29">F33</f>
        <v>  3.00000 </v>
      </c>
      <c r="J33" s="117" t="str">
        <f t="shared" si="29"/>
        <v>  3.00000 </v>
      </c>
      <c r="K33" s="117" t="str">
        <f t="shared" si="29"/>
        <v>  3.00000 </v>
      </c>
    </row>
    <row r="34" ht="14.25" customHeight="1">
      <c r="B34" s="67">
        <v>30.0</v>
      </c>
      <c r="C34" s="52"/>
      <c r="D34" s="67" t="s">
        <v>68</v>
      </c>
      <c r="E34" s="71" t="s">
        <v>69</v>
      </c>
      <c r="F34" s="28">
        <v>3.0</v>
      </c>
      <c r="G34" s="28">
        <v>3.0</v>
      </c>
      <c r="H34" s="28">
        <v>3.0</v>
      </c>
      <c r="I34" s="117" t="str">
        <f t="shared" ref="I34:K34" si="30">F34</f>
        <v>  3.00000 </v>
      </c>
      <c r="J34" s="117" t="str">
        <f t="shared" si="30"/>
        <v>  3.00000 </v>
      </c>
      <c r="K34" s="117" t="str">
        <f t="shared" si="30"/>
        <v>  3.00000 </v>
      </c>
    </row>
    <row r="35" ht="14.25" customHeight="1">
      <c r="B35" s="67">
        <v>31.0</v>
      </c>
      <c r="C35" s="52"/>
      <c r="D35" s="67" t="s">
        <v>52</v>
      </c>
      <c r="E35" s="71" t="s">
        <v>53</v>
      </c>
      <c r="F35" s="118">
        <v>3.0</v>
      </c>
      <c r="G35" s="118">
        <v>3.0</v>
      </c>
      <c r="H35" s="118">
        <v>3.0</v>
      </c>
      <c r="I35" s="117" t="str">
        <f t="shared" ref="I35:K35" si="31">F35</f>
        <v>  3.00000 </v>
      </c>
      <c r="J35" s="117" t="str">
        <f t="shared" si="31"/>
        <v>  3.00000 </v>
      </c>
      <c r="K35" s="117" t="str">
        <f t="shared" si="31"/>
        <v>  3.00000 </v>
      </c>
    </row>
    <row r="36" ht="14.25" customHeight="1">
      <c r="B36" s="67">
        <v>32.0</v>
      </c>
      <c r="C36" s="52"/>
      <c r="D36" s="67" t="s">
        <v>58</v>
      </c>
      <c r="E36" s="71" t="s">
        <v>59</v>
      </c>
      <c r="F36" s="28">
        <v>3.0</v>
      </c>
      <c r="G36" s="28">
        <v>3.0</v>
      </c>
      <c r="H36" s="28">
        <v>3.0</v>
      </c>
      <c r="I36" s="117" t="str">
        <f t="shared" ref="I36:K36" si="32">F36</f>
        <v>  3.00000 </v>
      </c>
      <c r="J36" s="117" t="str">
        <f t="shared" si="32"/>
        <v>  3.00000 </v>
      </c>
      <c r="K36" s="117" t="str">
        <f t="shared" si="32"/>
        <v>  3.00000 </v>
      </c>
    </row>
    <row r="37" ht="14.25" customHeight="1">
      <c r="B37" s="67">
        <v>33.0</v>
      </c>
      <c r="C37" s="52"/>
      <c r="D37" s="67" t="s">
        <v>60</v>
      </c>
      <c r="E37" s="71" t="s">
        <v>61</v>
      </c>
      <c r="F37" s="28">
        <v>3.0</v>
      </c>
      <c r="G37" s="28">
        <v>3.0</v>
      </c>
      <c r="H37" s="28">
        <v>3.0</v>
      </c>
      <c r="I37" s="117" t="str">
        <f t="shared" ref="I37:K37" si="33">F37</f>
        <v>  3.00000 </v>
      </c>
      <c r="J37" s="117" t="str">
        <f t="shared" si="33"/>
        <v>  3.00000 </v>
      </c>
      <c r="K37" s="117" t="str">
        <f t="shared" si="33"/>
        <v>  3.00000 </v>
      </c>
    </row>
    <row r="38" ht="14.25" customHeight="1">
      <c r="B38" s="67">
        <v>34.0</v>
      </c>
      <c r="C38" s="52"/>
      <c r="D38" s="67" t="s">
        <v>62</v>
      </c>
      <c r="E38" s="71" t="s">
        <v>63</v>
      </c>
      <c r="F38" s="118">
        <v>3.0</v>
      </c>
      <c r="G38" s="118">
        <v>3.0</v>
      </c>
      <c r="H38" s="118">
        <v>3.0</v>
      </c>
      <c r="I38" s="117" t="str">
        <f t="shared" ref="I38:K38" si="34">F38</f>
        <v>  3.00000 </v>
      </c>
      <c r="J38" s="117" t="str">
        <f t="shared" si="34"/>
        <v>  3.00000 </v>
      </c>
      <c r="K38" s="117" t="str">
        <f t="shared" si="34"/>
        <v>  3.00000 </v>
      </c>
    </row>
    <row r="39" ht="14.25" customHeight="1">
      <c r="B39" s="67">
        <v>35.0</v>
      </c>
      <c r="C39" s="52"/>
      <c r="D39" s="67" t="s">
        <v>54</v>
      </c>
      <c r="E39" s="71" t="s">
        <v>55</v>
      </c>
      <c r="F39" s="28">
        <v>3.0</v>
      </c>
      <c r="G39" s="28">
        <v>3.0</v>
      </c>
      <c r="H39" s="28">
        <v>3.0</v>
      </c>
      <c r="I39" s="117" t="str">
        <f t="shared" ref="I39:K39" si="35">F39</f>
        <v>  3.00000 </v>
      </c>
      <c r="J39" s="117" t="str">
        <f t="shared" si="35"/>
        <v>  3.00000 </v>
      </c>
      <c r="K39" s="117" t="str">
        <f t="shared" si="35"/>
        <v>  3.00000 </v>
      </c>
    </row>
    <row r="40" ht="14.25" customHeight="1">
      <c r="B40" s="67">
        <v>36.0</v>
      </c>
      <c r="C40" s="52"/>
      <c r="D40" s="67" t="s">
        <v>190</v>
      </c>
      <c r="E40" s="71" t="s">
        <v>191</v>
      </c>
      <c r="F40" s="28">
        <v>3.0</v>
      </c>
      <c r="G40" s="28">
        <v>3.0</v>
      </c>
      <c r="H40" s="28">
        <v>3.0</v>
      </c>
      <c r="I40" s="117" t="str">
        <f t="shared" ref="I40:K40" si="36">F40</f>
        <v>  3.00000 </v>
      </c>
      <c r="J40" s="117" t="str">
        <f t="shared" si="36"/>
        <v>  3.00000 </v>
      </c>
      <c r="K40" s="117" t="str">
        <f t="shared" si="36"/>
        <v>  3.00000 </v>
      </c>
    </row>
    <row r="41" ht="14.25" customHeight="1">
      <c r="B41" s="67">
        <v>37.0</v>
      </c>
      <c r="C41" s="52"/>
      <c r="D41" s="67" t="s">
        <v>64</v>
      </c>
      <c r="E41" s="71" t="s">
        <v>65</v>
      </c>
      <c r="F41" s="28">
        <v>3.0</v>
      </c>
      <c r="G41" s="28">
        <v>3.0</v>
      </c>
      <c r="H41" s="28">
        <v>3.0</v>
      </c>
      <c r="I41" s="117" t="str">
        <f t="shared" ref="I41:K41" si="37">F41</f>
        <v>  3.00000 </v>
      </c>
      <c r="J41" s="117" t="str">
        <f t="shared" si="37"/>
        <v>  3.00000 </v>
      </c>
      <c r="K41" s="117" t="str">
        <f t="shared" si="37"/>
        <v>  3.00000 </v>
      </c>
    </row>
    <row r="42" ht="14.25" customHeight="1">
      <c r="B42" s="67">
        <v>38.0</v>
      </c>
      <c r="C42" s="52"/>
      <c r="D42" s="67" t="s">
        <v>184</v>
      </c>
      <c r="E42" s="71" t="s">
        <v>185</v>
      </c>
      <c r="F42" s="28">
        <v>3.0</v>
      </c>
      <c r="G42" s="28">
        <v>3.0</v>
      </c>
      <c r="H42" s="28">
        <v>3.0</v>
      </c>
      <c r="I42" s="117" t="str">
        <f t="shared" ref="I42:K42" si="38">F42</f>
        <v>  3.00000 </v>
      </c>
      <c r="J42" s="117" t="str">
        <f t="shared" si="38"/>
        <v>  3.00000 </v>
      </c>
      <c r="K42" s="117" t="str">
        <f t="shared" si="38"/>
        <v>  3.00000 </v>
      </c>
    </row>
    <row r="43" ht="14.25" customHeight="1">
      <c r="B43" s="67">
        <v>39.0</v>
      </c>
      <c r="C43" s="52"/>
      <c r="D43" s="67" t="s">
        <v>176</v>
      </c>
      <c r="E43" s="71" t="s">
        <v>177</v>
      </c>
      <c r="F43" s="28">
        <v>2.0</v>
      </c>
      <c r="G43" s="28">
        <v>4.0</v>
      </c>
      <c r="H43" s="28">
        <v>4.0</v>
      </c>
      <c r="I43" s="117" t="str">
        <f t="shared" ref="I43:K43" si="39">F43</f>
        <v>  2.00000 </v>
      </c>
      <c r="J43" s="117" t="str">
        <f t="shared" si="39"/>
        <v>  4.00000 </v>
      </c>
      <c r="K43" s="117" t="str">
        <f t="shared" si="39"/>
        <v>  4.00000 </v>
      </c>
    </row>
    <row r="44" ht="14.25" customHeight="1">
      <c r="B44" s="67">
        <v>40.0</v>
      </c>
      <c r="C44" s="52"/>
      <c r="D44" s="67" t="s">
        <v>72</v>
      </c>
      <c r="E44" s="71" t="s">
        <v>73</v>
      </c>
      <c r="F44" s="28">
        <v>3.0</v>
      </c>
      <c r="G44" s="28">
        <v>3.0</v>
      </c>
      <c r="H44" s="28">
        <v>3.0</v>
      </c>
      <c r="I44" s="117" t="str">
        <f t="shared" ref="I44:K44" si="40">F44</f>
        <v>  3.00000 </v>
      </c>
      <c r="J44" s="117" t="str">
        <f t="shared" si="40"/>
        <v>  3.00000 </v>
      </c>
      <c r="K44" s="117" t="str">
        <f t="shared" si="40"/>
        <v>  3.00000 </v>
      </c>
    </row>
    <row r="45" ht="14.25" customHeight="1">
      <c r="B45" s="67">
        <v>41.0</v>
      </c>
      <c r="C45" s="52"/>
      <c r="D45" s="67" t="s">
        <v>70</v>
      </c>
      <c r="E45" s="71" t="s">
        <v>71</v>
      </c>
      <c r="F45" s="118">
        <v>3.0</v>
      </c>
      <c r="G45" s="118">
        <v>3.0</v>
      </c>
      <c r="H45" s="118">
        <v>3.0</v>
      </c>
      <c r="I45" s="117" t="str">
        <f t="shared" ref="I45:K45" si="41">F45</f>
        <v>  3.00000 </v>
      </c>
      <c r="J45" s="117" t="str">
        <f t="shared" si="41"/>
        <v>  3.00000 </v>
      </c>
      <c r="K45" s="117" t="str">
        <f t="shared" si="41"/>
        <v>  3.00000 </v>
      </c>
    </row>
    <row r="46" ht="14.25" customHeight="1">
      <c r="B46" s="67">
        <v>42.0</v>
      </c>
      <c r="C46" s="52"/>
      <c r="D46" s="67" t="s">
        <v>202</v>
      </c>
      <c r="E46" s="71" t="s">
        <v>203</v>
      </c>
      <c r="F46" s="28">
        <v>3.0</v>
      </c>
      <c r="G46" s="28">
        <v>3.0</v>
      </c>
      <c r="H46" s="28">
        <v>3.0</v>
      </c>
      <c r="I46" s="117" t="str">
        <f t="shared" ref="I46:K46" si="42">F46</f>
        <v>  3.00000 </v>
      </c>
      <c r="J46" s="117" t="str">
        <f t="shared" si="42"/>
        <v>  3.00000 </v>
      </c>
      <c r="K46" s="117" t="str">
        <f t="shared" si="42"/>
        <v>  3.00000 </v>
      </c>
    </row>
    <row r="47" ht="14.25" customHeight="1">
      <c r="B47" s="67">
        <v>43.0</v>
      </c>
      <c r="C47" s="52"/>
      <c r="D47" s="67" t="s">
        <v>206</v>
      </c>
      <c r="E47" s="71" t="s">
        <v>207</v>
      </c>
      <c r="F47" s="28">
        <v>3.0</v>
      </c>
      <c r="G47" s="28">
        <v>3.0</v>
      </c>
      <c r="H47" s="28">
        <v>3.0</v>
      </c>
      <c r="I47" s="117" t="str">
        <f t="shared" ref="I47:K47" si="43">F47</f>
        <v>  3.00000 </v>
      </c>
      <c r="J47" s="117" t="str">
        <f t="shared" si="43"/>
        <v>  3.00000 </v>
      </c>
      <c r="K47" s="117" t="str">
        <f t="shared" si="43"/>
        <v>  3.00000 </v>
      </c>
    </row>
    <row r="48" ht="14.25" customHeight="1">
      <c r="B48" s="67">
        <v>44.0</v>
      </c>
      <c r="C48" s="52"/>
      <c r="D48" s="67" t="s">
        <v>76</v>
      </c>
      <c r="E48" s="71" t="s">
        <v>77</v>
      </c>
      <c r="F48" s="28">
        <v>3.0</v>
      </c>
      <c r="G48" s="28">
        <v>3.0</v>
      </c>
      <c r="H48" s="28">
        <v>3.0</v>
      </c>
      <c r="I48" s="117" t="str">
        <f t="shared" ref="I48:K48" si="44">F48</f>
        <v>  3.00000 </v>
      </c>
      <c r="J48" s="117" t="str">
        <f t="shared" si="44"/>
        <v>  3.00000 </v>
      </c>
      <c r="K48" s="117" t="str">
        <f t="shared" si="44"/>
        <v>  3.00000 </v>
      </c>
    </row>
    <row r="49" ht="14.25" customHeight="1">
      <c r="B49" s="67">
        <v>45.0</v>
      </c>
      <c r="C49" s="52"/>
      <c r="D49" s="67" t="s">
        <v>204</v>
      </c>
      <c r="E49" s="71" t="s">
        <v>205</v>
      </c>
      <c r="F49" s="28">
        <v>3.0</v>
      </c>
      <c r="G49" s="28">
        <v>3.0</v>
      </c>
      <c r="H49" s="28">
        <v>3.0</v>
      </c>
      <c r="I49" s="117" t="str">
        <f t="shared" ref="I49:K49" si="45">F49</f>
        <v>  3.00000 </v>
      </c>
      <c r="J49" s="117" t="str">
        <f t="shared" si="45"/>
        <v>  3.00000 </v>
      </c>
      <c r="K49" s="117" t="str">
        <f t="shared" si="45"/>
        <v>  3.00000 </v>
      </c>
    </row>
    <row r="50" ht="14.25" customHeight="1">
      <c r="B50" s="67">
        <v>46.0</v>
      </c>
      <c r="C50" s="52"/>
      <c r="D50" s="67" t="s">
        <v>82</v>
      </c>
      <c r="E50" s="71" t="s">
        <v>83</v>
      </c>
      <c r="F50" s="28">
        <v>3.0</v>
      </c>
      <c r="G50" s="28">
        <v>3.0</v>
      </c>
      <c r="H50" s="28">
        <v>3.0</v>
      </c>
      <c r="I50" s="117" t="str">
        <f t="shared" ref="I50:K50" si="46">F50</f>
        <v>  3.00000 </v>
      </c>
      <c r="J50" s="117" t="str">
        <f t="shared" si="46"/>
        <v>  3.00000 </v>
      </c>
      <c r="K50" s="117" t="str">
        <f t="shared" si="46"/>
        <v>  3.00000 </v>
      </c>
    </row>
    <row r="51" ht="14.25" customHeight="1">
      <c r="B51" s="67">
        <v>47.0</v>
      </c>
      <c r="C51" s="52"/>
      <c r="D51" s="67" t="s">
        <v>84</v>
      </c>
      <c r="E51" s="71" t="s">
        <v>85</v>
      </c>
      <c r="F51" s="28">
        <v>3.0</v>
      </c>
      <c r="G51" s="28">
        <v>3.0</v>
      </c>
      <c r="H51" s="28">
        <v>3.0</v>
      </c>
      <c r="I51" s="117" t="str">
        <f t="shared" ref="I51:K51" si="47">F51</f>
        <v>  3.00000 </v>
      </c>
      <c r="J51" s="117" t="str">
        <f t="shared" si="47"/>
        <v>  3.00000 </v>
      </c>
      <c r="K51" s="117" t="str">
        <f t="shared" si="47"/>
        <v>  3.00000 </v>
      </c>
    </row>
    <row r="52" ht="14.25" customHeight="1">
      <c r="B52" s="67">
        <v>48.0</v>
      </c>
      <c r="C52" s="52"/>
      <c r="D52" s="67" t="s">
        <v>212</v>
      </c>
      <c r="E52" s="71" t="s">
        <v>213</v>
      </c>
      <c r="F52" s="28">
        <v>3.0</v>
      </c>
      <c r="G52" s="28">
        <v>3.0</v>
      </c>
      <c r="H52" s="28">
        <v>3.0</v>
      </c>
      <c r="I52" s="117" t="str">
        <f t="shared" ref="I52:K52" si="48">F52</f>
        <v>  3.00000 </v>
      </c>
      <c r="J52" s="117" t="str">
        <f t="shared" si="48"/>
        <v>  3.00000 </v>
      </c>
      <c r="K52" s="117" t="str">
        <f t="shared" si="48"/>
        <v>  3.00000 </v>
      </c>
    </row>
    <row r="53" ht="14.25" customHeight="1">
      <c r="B53" s="67">
        <v>49.0</v>
      </c>
      <c r="C53" s="52"/>
      <c r="D53" s="67" t="s">
        <v>88</v>
      </c>
      <c r="E53" s="71" t="s">
        <v>89</v>
      </c>
      <c r="F53" s="28">
        <v>3.0</v>
      </c>
      <c r="G53" s="28">
        <v>3.0</v>
      </c>
      <c r="H53" s="28">
        <v>3.0</v>
      </c>
      <c r="I53" s="117" t="str">
        <f t="shared" ref="I53:K53" si="49">F53</f>
        <v>  3.00000 </v>
      </c>
      <c r="J53" s="117" t="str">
        <f t="shared" si="49"/>
        <v>  3.00000 </v>
      </c>
      <c r="K53" s="117" t="str">
        <f t="shared" si="49"/>
        <v>  3.00000 </v>
      </c>
    </row>
    <row r="54" ht="14.25" customHeight="1">
      <c r="B54" s="67">
        <v>50.0</v>
      </c>
      <c r="C54" s="52"/>
      <c r="D54" s="67" t="s">
        <v>86</v>
      </c>
      <c r="E54" s="71" t="s">
        <v>87</v>
      </c>
      <c r="F54" s="28">
        <v>2.0</v>
      </c>
      <c r="G54" s="28">
        <v>2.0</v>
      </c>
      <c r="H54" s="28">
        <v>3.0</v>
      </c>
      <c r="I54" s="117" t="str">
        <f t="shared" ref="I54:K54" si="50">F54</f>
        <v>  2.00000 </v>
      </c>
      <c r="J54" s="117" t="str">
        <f t="shared" si="50"/>
        <v>  2.00000 </v>
      </c>
      <c r="K54" s="117" t="str">
        <f t="shared" si="50"/>
        <v>  3.00000 </v>
      </c>
    </row>
    <row r="55" ht="14.25" customHeight="1">
      <c r="B55" s="67">
        <v>51.0</v>
      </c>
      <c r="C55" s="52"/>
      <c r="D55" s="67" t="s">
        <v>226</v>
      </c>
      <c r="E55" s="71" t="s">
        <v>227</v>
      </c>
      <c r="F55" s="28">
        <v>3.0</v>
      </c>
      <c r="G55" s="28">
        <v>3.0</v>
      </c>
      <c r="H55" s="28">
        <v>3.0</v>
      </c>
      <c r="I55" s="117" t="str">
        <f t="shared" ref="I55:K55" si="51">F55</f>
        <v>  3.00000 </v>
      </c>
      <c r="J55" s="117" t="str">
        <f t="shared" si="51"/>
        <v>  3.00000 </v>
      </c>
      <c r="K55" s="117" t="str">
        <f t="shared" si="51"/>
        <v>  3.00000 </v>
      </c>
    </row>
    <row r="56" ht="14.25" customHeight="1">
      <c r="B56" s="67">
        <v>52.0</v>
      </c>
      <c r="C56" s="52"/>
      <c r="D56" s="67" t="s">
        <v>90</v>
      </c>
      <c r="E56" s="71" t="s">
        <v>91</v>
      </c>
      <c r="F56" s="28">
        <v>3.0</v>
      </c>
      <c r="G56" s="28">
        <v>3.0</v>
      </c>
      <c r="H56" s="28">
        <v>3.0</v>
      </c>
      <c r="I56" s="117" t="str">
        <f t="shared" ref="I56:K56" si="52">F56</f>
        <v>  3.00000 </v>
      </c>
      <c r="J56" s="117" t="str">
        <f t="shared" si="52"/>
        <v>  3.00000 </v>
      </c>
      <c r="K56" s="117" t="str">
        <f t="shared" si="52"/>
        <v>  3.00000 </v>
      </c>
    </row>
    <row r="57" ht="14.25" customHeight="1">
      <c r="B57" s="67">
        <v>53.0</v>
      </c>
      <c r="C57" s="52"/>
      <c r="D57" s="67" t="s">
        <v>92</v>
      </c>
      <c r="E57" s="71" t="s">
        <v>93</v>
      </c>
      <c r="F57" s="28">
        <v>3.0</v>
      </c>
      <c r="G57" s="28">
        <v>3.0</v>
      </c>
      <c r="H57" s="28">
        <v>3.0</v>
      </c>
      <c r="I57" s="117" t="str">
        <f t="shared" ref="I57:K57" si="53">F57</f>
        <v>  3.00000 </v>
      </c>
      <c r="J57" s="117" t="str">
        <f t="shared" si="53"/>
        <v>  3.00000 </v>
      </c>
      <c r="K57" s="117" t="str">
        <f t="shared" si="53"/>
        <v>  3.00000 </v>
      </c>
    </row>
    <row r="58" ht="14.25" customHeight="1">
      <c r="B58" s="67">
        <v>54.0</v>
      </c>
      <c r="C58" s="46"/>
      <c r="D58" s="67" t="s">
        <v>94</v>
      </c>
      <c r="E58" s="71" t="s">
        <v>95</v>
      </c>
      <c r="F58" s="28">
        <v>3.0</v>
      </c>
      <c r="G58" s="28">
        <v>3.0</v>
      </c>
      <c r="H58" s="28">
        <v>3.0</v>
      </c>
      <c r="I58" s="117" t="str">
        <f t="shared" ref="I58:K58" si="54">F58</f>
        <v>  3.00000 </v>
      </c>
      <c r="J58" s="117" t="str">
        <f t="shared" si="54"/>
        <v>  3.00000 </v>
      </c>
      <c r="K58" s="117" t="str">
        <f t="shared" si="54"/>
        <v>  3.00000 </v>
      </c>
    </row>
    <row r="59" ht="14.25" customHeight="1">
      <c r="I59" s="115"/>
      <c r="J59" s="115"/>
      <c r="K59" s="115"/>
    </row>
    <row r="60" ht="14.25" customHeight="1">
      <c r="I60" s="115"/>
      <c r="J60" s="115"/>
      <c r="K60" s="115"/>
    </row>
    <row r="61" ht="14.25" customHeight="1">
      <c r="I61" s="115"/>
      <c r="J61" s="115"/>
      <c r="K61" s="115"/>
    </row>
    <row r="62" ht="14.25" customHeight="1">
      <c r="I62" s="115"/>
      <c r="J62" s="115"/>
      <c r="K62" s="115"/>
    </row>
    <row r="63" ht="14.25" customHeight="1">
      <c r="I63" s="115"/>
      <c r="J63" s="115"/>
      <c r="K63" s="115"/>
    </row>
    <row r="64" ht="14.25" customHeight="1">
      <c r="I64" s="115"/>
      <c r="J64" s="115"/>
      <c r="K64" s="115"/>
    </row>
    <row r="65" ht="14.25" customHeight="1">
      <c r="I65" s="115"/>
      <c r="J65" s="115"/>
      <c r="K65" s="115"/>
    </row>
    <row r="66" ht="14.25" customHeight="1">
      <c r="I66" s="115"/>
      <c r="J66" s="115"/>
      <c r="K66" s="115"/>
    </row>
    <row r="67" ht="14.25" customHeight="1">
      <c r="I67" s="115"/>
      <c r="J67" s="115"/>
      <c r="K67" s="115"/>
    </row>
    <row r="68" ht="14.25" customHeight="1">
      <c r="I68" s="115"/>
      <c r="J68" s="115"/>
      <c r="K68" s="115"/>
    </row>
    <row r="69" ht="14.25" customHeight="1">
      <c r="I69" s="115"/>
      <c r="J69" s="115"/>
      <c r="K69" s="115"/>
    </row>
    <row r="70" ht="14.25" customHeight="1">
      <c r="I70" s="115"/>
      <c r="J70" s="115"/>
      <c r="K70" s="115"/>
    </row>
    <row r="71" ht="14.25" customHeight="1">
      <c r="I71" s="115"/>
      <c r="J71" s="115"/>
      <c r="K71" s="115"/>
    </row>
    <row r="72" ht="14.25" customHeight="1">
      <c r="I72" s="115"/>
      <c r="J72" s="115"/>
      <c r="K72" s="115"/>
    </row>
    <row r="73" ht="14.25" customHeight="1">
      <c r="I73" s="115"/>
      <c r="J73" s="115"/>
      <c r="K73" s="115"/>
    </row>
    <row r="74" ht="14.25" customHeight="1">
      <c r="I74" s="115"/>
      <c r="J74" s="115"/>
      <c r="K74" s="115"/>
    </row>
    <row r="75" ht="14.25" customHeight="1">
      <c r="I75" s="115"/>
      <c r="J75" s="115"/>
      <c r="K75" s="115"/>
    </row>
    <row r="76" ht="14.25" customHeight="1">
      <c r="I76" s="115"/>
      <c r="J76" s="115"/>
      <c r="K76" s="115"/>
    </row>
    <row r="77" ht="14.25" customHeight="1">
      <c r="I77" s="115"/>
      <c r="J77" s="115"/>
      <c r="K77" s="115"/>
    </row>
    <row r="78" ht="14.25" customHeight="1">
      <c r="I78" s="115"/>
      <c r="J78" s="115"/>
      <c r="K78" s="115"/>
    </row>
    <row r="79" ht="14.25" customHeight="1">
      <c r="I79" s="115"/>
      <c r="J79" s="115"/>
      <c r="K79" s="115"/>
    </row>
    <row r="80" ht="14.25" customHeight="1">
      <c r="I80" s="115"/>
      <c r="J80" s="115"/>
      <c r="K80" s="115"/>
    </row>
    <row r="81" ht="14.25" customHeight="1">
      <c r="I81" s="115"/>
      <c r="J81" s="115"/>
      <c r="K81" s="115"/>
    </row>
    <row r="82" ht="14.25" customHeight="1">
      <c r="I82" s="115"/>
      <c r="J82" s="115"/>
      <c r="K82" s="115"/>
    </row>
    <row r="83" ht="14.25" customHeight="1">
      <c r="I83" s="115"/>
      <c r="J83" s="115"/>
      <c r="K83" s="115"/>
    </row>
    <row r="84" ht="14.25" customHeight="1">
      <c r="I84" s="115"/>
      <c r="J84" s="115"/>
      <c r="K84" s="115"/>
    </row>
    <row r="85" ht="14.25" customHeight="1">
      <c r="I85" s="115"/>
      <c r="J85" s="115"/>
      <c r="K85" s="115"/>
    </row>
    <row r="86" ht="14.25" customHeight="1">
      <c r="I86" s="115"/>
      <c r="J86" s="115"/>
      <c r="K86" s="115"/>
    </row>
    <row r="87" ht="14.25" customHeight="1">
      <c r="I87" s="115"/>
      <c r="J87" s="115"/>
      <c r="K87" s="115"/>
    </row>
    <row r="88" ht="14.25" customHeight="1">
      <c r="I88" s="115"/>
      <c r="J88" s="115"/>
      <c r="K88" s="115"/>
    </row>
    <row r="89" ht="14.25" customHeight="1">
      <c r="I89" s="115"/>
      <c r="J89" s="115"/>
      <c r="K89" s="115"/>
    </row>
    <row r="90" ht="14.25" customHeight="1">
      <c r="I90" s="115"/>
      <c r="J90" s="115"/>
      <c r="K90" s="115"/>
    </row>
    <row r="91" ht="14.25" customHeight="1">
      <c r="I91" s="115"/>
      <c r="J91" s="115"/>
      <c r="K91" s="115"/>
    </row>
    <row r="92" ht="14.25" customHeight="1">
      <c r="I92" s="115"/>
      <c r="J92" s="115"/>
      <c r="K92" s="115"/>
    </row>
    <row r="93" ht="14.25" customHeight="1">
      <c r="I93" s="115"/>
      <c r="J93" s="115"/>
      <c r="K93" s="115"/>
    </row>
    <row r="94" ht="14.25" customHeight="1">
      <c r="I94" s="115"/>
      <c r="J94" s="115"/>
      <c r="K94" s="115"/>
    </row>
    <row r="95" ht="14.25" customHeight="1">
      <c r="I95" s="115"/>
      <c r="J95" s="115"/>
      <c r="K95" s="115"/>
    </row>
    <row r="96" ht="14.25" customHeight="1">
      <c r="I96" s="115"/>
      <c r="J96" s="115"/>
      <c r="K96" s="115"/>
    </row>
    <row r="97" ht="14.25" customHeight="1">
      <c r="I97" s="115"/>
      <c r="J97" s="115"/>
      <c r="K97" s="115"/>
    </row>
    <row r="98" ht="14.25" customHeight="1">
      <c r="I98" s="115"/>
      <c r="J98" s="115"/>
      <c r="K98" s="115"/>
    </row>
    <row r="99" ht="14.25" customHeight="1">
      <c r="I99" s="115"/>
      <c r="J99" s="115"/>
      <c r="K99" s="115"/>
    </row>
    <row r="100" ht="14.25" customHeight="1">
      <c r="I100" s="115"/>
      <c r="J100" s="115"/>
      <c r="K100" s="115"/>
    </row>
    <row r="101" ht="14.25" customHeight="1">
      <c r="I101" s="115"/>
      <c r="J101" s="115"/>
      <c r="K101" s="115"/>
    </row>
    <row r="102" ht="14.25" customHeight="1">
      <c r="I102" s="115"/>
      <c r="J102" s="115"/>
      <c r="K102" s="115"/>
    </row>
    <row r="103" ht="14.25" customHeight="1">
      <c r="I103" s="115"/>
      <c r="J103" s="115"/>
      <c r="K103" s="115"/>
    </row>
    <row r="104" ht="14.25" customHeight="1">
      <c r="I104" s="115"/>
      <c r="J104" s="115"/>
      <c r="K104" s="115"/>
    </row>
    <row r="105" ht="14.25" customHeight="1">
      <c r="I105" s="115"/>
      <c r="J105" s="115"/>
      <c r="K105" s="115"/>
    </row>
    <row r="106" ht="14.25" customHeight="1">
      <c r="I106" s="115"/>
      <c r="J106" s="115"/>
      <c r="K106" s="115"/>
    </row>
    <row r="107" ht="14.25" customHeight="1">
      <c r="I107" s="115"/>
      <c r="J107" s="115"/>
      <c r="K107" s="115"/>
    </row>
    <row r="108" ht="14.25" customHeight="1">
      <c r="I108" s="115"/>
      <c r="J108" s="115"/>
      <c r="K108" s="115"/>
    </row>
    <row r="109" ht="14.25" customHeight="1">
      <c r="I109" s="115"/>
      <c r="J109" s="115"/>
      <c r="K109" s="115"/>
    </row>
    <row r="110" ht="14.25" customHeight="1">
      <c r="I110" s="115"/>
      <c r="J110" s="115"/>
      <c r="K110" s="115"/>
    </row>
    <row r="111" ht="14.25" customHeight="1">
      <c r="I111" s="115"/>
      <c r="J111" s="115"/>
      <c r="K111" s="115"/>
    </row>
    <row r="112" ht="14.25" customHeight="1">
      <c r="I112" s="115"/>
      <c r="J112" s="115"/>
      <c r="K112" s="115"/>
    </row>
    <row r="113" ht="14.25" customHeight="1">
      <c r="I113" s="115"/>
      <c r="J113" s="115"/>
      <c r="K113" s="115"/>
    </row>
    <row r="114" ht="14.25" customHeight="1">
      <c r="I114" s="115"/>
      <c r="J114" s="115"/>
      <c r="K114" s="115"/>
    </row>
    <row r="115" ht="14.25" customHeight="1">
      <c r="I115" s="115"/>
      <c r="J115" s="115"/>
      <c r="K115" s="115"/>
    </row>
    <row r="116" ht="14.25" customHeight="1">
      <c r="I116" s="115"/>
      <c r="J116" s="115"/>
      <c r="K116" s="115"/>
    </row>
    <row r="117" ht="14.25" customHeight="1">
      <c r="I117" s="115"/>
      <c r="J117" s="115"/>
      <c r="K117" s="115"/>
    </row>
    <row r="118" ht="14.25" customHeight="1">
      <c r="I118" s="115"/>
      <c r="J118" s="115"/>
      <c r="K118" s="115"/>
    </row>
    <row r="119" ht="14.25" customHeight="1">
      <c r="I119" s="115"/>
      <c r="J119" s="115"/>
      <c r="K119" s="115"/>
    </row>
    <row r="120" ht="14.25" customHeight="1">
      <c r="I120" s="115"/>
      <c r="J120" s="115"/>
      <c r="K120" s="115"/>
    </row>
    <row r="121" ht="14.25" customHeight="1">
      <c r="I121" s="115"/>
      <c r="J121" s="115"/>
      <c r="K121" s="115"/>
    </row>
    <row r="122" ht="14.25" customHeight="1">
      <c r="I122" s="115"/>
      <c r="J122" s="115"/>
      <c r="K122" s="115"/>
    </row>
    <row r="123" ht="14.25" customHeight="1">
      <c r="I123" s="115"/>
      <c r="J123" s="115"/>
      <c r="K123" s="115"/>
    </row>
    <row r="124" ht="14.25" customHeight="1">
      <c r="I124" s="115"/>
      <c r="J124" s="115"/>
      <c r="K124" s="115"/>
    </row>
    <row r="125" ht="14.25" customHeight="1">
      <c r="I125" s="115"/>
      <c r="J125" s="115"/>
      <c r="K125" s="115"/>
    </row>
    <row r="126" ht="14.25" customHeight="1">
      <c r="I126" s="115"/>
      <c r="J126" s="115"/>
      <c r="K126" s="115"/>
    </row>
    <row r="127" ht="14.25" customHeight="1">
      <c r="I127" s="115"/>
      <c r="J127" s="115"/>
      <c r="K127" s="115"/>
    </row>
    <row r="128" ht="14.25" customHeight="1">
      <c r="I128" s="115"/>
      <c r="J128" s="115"/>
      <c r="K128" s="115"/>
    </row>
    <row r="129" ht="14.25" customHeight="1">
      <c r="I129" s="115"/>
      <c r="J129" s="115"/>
      <c r="K129" s="115"/>
    </row>
    <row r="130" ht="14.25" customHeight="1">
      <c r="I130" s="115"/>
      <c r="J130" s="115"/>
      <c r="K130" s="115"/>
    </row>
    <row r="131" ht="14.25" customHeight="1">
      <c r="I131" s="115"/>
      <c r="J131" s="115"/>
      <c r="K131" s="115"/>
    </row>
    <row r="132" ht="14.25" customHeight="1">
      <c r="I132" s="115"/>
      <c r="J132" s="115"/>
      <c r="K132" s="115"/>
    </row>
    <row r="133" ht="14.25" customHeight="1">
      <c r="I133" s="115"/>
      <c r="J133" s="115"/>
      <c r="K133" s="115"/>
    </row>
    <row r="134" ht="14.25" customHeight="1">
      <c r="I134" s="115"/>
      <c r="J134" s="115"/>
      <c r="K134" s="115"/>
    </row>
    <row r="135" ht="14.25" customHeight="1">
      <c r="I135" s="115"/>
      <c r="J135" s="115"/>
      <c r="K135" s="115"/>
    </row>
    <row r="136" ht="14.25" customHeight="1">
      <c r="I136" s="115"/>
      <c r="J136" s="115"/>
      <c r="K136" s="115"/>
    </row>
    <row r="137" ht="14.25" customHeight="1">
      <c r="I137" s="115"/>
      <c r="J137" s="115"/>
      <c r="K137" s="115"/>
    </row>
    <row r="138" ht="14.25" customHeight="1">
      <c r="I138" s="115"/>
      <c r="J138" s="115"/>
      <c r="K138" s="115"/>
    </row>
    <row r="139" ht="14.25" customHeight="1">
      <c r="I139" s="115"/>
      <c r="J139" s="115"/>
      <c r="K139" s="115"/>
    </row>
    <row r="140" ht="14.25" customHeight="1">
      <c r="I140" s="115"/>
      <c r="J140" s="115"/>
      <c r="K140" s="115"/>
    </row>
    <row r="141" ht="14.25" customHeight="1">
      <c r="I141" s="115"/>
      <c r="J141" s="115"/>
      <c r="K141" s="115"/>
    </row>
    <row r="142" ht="14.25" customHeight="1">
      <c r="I142" s="115"/>
      <c r="J142" s="115"/>
      <c r="K142" s="115"/>
    </row>
    <row r="143" ht="14.25" customHeight="1">
      <c r="I143" s="115"/>
      <c r="J143" s="115"/>
      <c r="K143" s="115"/>
    </row>
    <row r="144" ht="14.25" customHeight="1">
      <c r="I144" s="115"/>
      <c r="J144" s="115"/>
      <c r="K144" s="115"/>
    </row>
    <row r="145" ht="14.25" customHeight="1">
      <c r="I145" s="115"/>
      <c r="J145" s="115"/>
      <c r="K145" s="115"/>
    </row>
    <row r="146" ht="14.25" customHeight="1">
      <c r="I146" s="115"/>
      <c r="J146" s="115"/>
      <c r="K146" s="115"/>
    </row>
    <row r="147" ht="14.25" customHeight="1">
      <c r="I147" s="115"/>
      <c r="J147" s="115"/>
      <c r="K147" s="115"/>
    </row>
    <row r="148" ht="14.25" customHeight="1">
      <c r="I148" s="115"/>
      <c r="J148" s="115"/>
      <c r="K148" s="115"/>
    </row>
    <row r="149" ht="14.25" customHeight="1">
      <c r="I149" s="115"/>
      <c r="J149" s="115"/>
      <c r="K149" s="115"/>
    </row>
    <row r="150" ht="14.25" customHeight="1">
      <c r="I150" s="115"/>
      <c r="J150" s="115"/>
      <c r="K150" s="115"/>
    </row>
    <row r="151" ht="14.25" customHeight="1">
      <c r="I151" s="115"/>
      <c r="J151" s="115"/>
      <c r="K151" s="115"/>
    </row>
    <row r="152" ht="14.25" customHeight="1">
      <c r="I152" s="115"/>
      <c r="J152" s="115"/>
      <c r="K152" s="115"/>
    </row>
    <row r="153" ht="14.25" customHeight="1">
      <c r="I153" s="115"/>
      <c r="J153" s="115"/>
      <c r="K153" s="115"/>
    </row>
    <row r="154" ht="14.25" customHeight="1">
      <c r="I154" s="115"/>
      <c r="J154" s="115"/>
      <c r="K154" s="115"/>
    </row>
    <row r="155" ht="14.25" customHeight="1">
      <c r="I155" s="115"/>
      <c r="J155" s="115"/>
      <c r="K155" s="115"/>
    </row>
    <row r="156" ht="14.25" customHeight="1">
      <c r="I156" s="115"/>
      <c r="J156" s="115"/>
      <c r="K156" s="115"/>
    </row>
    <row r="157" ht="14.25" customHeight="1">
      <c r="I157" s="115"/>
      <c r="J157" s="115"/>
      <c r="K157" s="115"/>
    </row>
    <row r="158" ht="14.25" customHeight="1">
      <c r="I158" s="115"/>
      <c r="J158" s="115"/>
      <c r="K158" s="115"/>
    </row>
    <row r="159" ht="14.25" customHeight="1">
      <c r="I159" s="115"/>
      <c r="J159" s="115"/>
      <c r="K159" s="115"/>
    </row>
    <row r="160" ht="14.25" customHeight="1">
      <c r="I160" s="115"/>
      <c r="J160" s="115"/>
      <c r="K160" s="115"/>
    </row>
    <row r="161" ht="14.25" customHeight="1">
      <c r="I161" s="115"/>
      <c r="J161" s="115"/>
      <c r="K161" s="115"/>
    </row>
    <row r="162" ht="14.25" customHeight="1">
      <c r="I162" s="115"/>
      <c r="J162" s="115"/>
      <c r="K162" s="115"/>
    </row>
    <row r="163" ht="14.25" customHeight="1">
      <c r="I163" s="115"/>
      <c r="J163" s="115"/>
      <c r="K163" s="115"/>
    </row>
    <row r="164" ht="14.25" customHeight="1">
      <c r="I164" s="115"/>
      <c r="J164" s="115"/>
      <c r="K164" s="115"/>
    </row>
    <row r="165" ht="14.25" customHeight="1">
      <c r="I165" s="115"/>
      <c r="J165" s="115"/>
      <c r="K165" s="115"/>
    </row>
    <row r="166" ht="14.25" customHeight="1">
      <c r="I166" s="115"/>
      <c r="J166" s="115"/>
      <c r="K166" s="115"/>
    </row>
    <row r="167" ht="14.25" customHeight="1">
      <c r="I167" s="115"/>
      <c r="J167" s="115"/>
      <c r="K167" s="115"/>
    </row>
    <row r="168" ht="14.25" customHeight="1">
      <c r="I168" s="115"/>
      <c r="J168" s="115"/>
      <c r="K168" s="115"/>
    </row>
    <row r="169" ht="14.25" customHeight="1">
      <c r="I169" s="115"/>
      <c r="J169" s="115"/>
      <c r="K169" s="115"/>
    </row>
    <row r="170" ht="14.25" customHeight="1">
      <c r="I170" s="115"/>
      <c r="J170" s="115"/>
      <c r="K170" s="115"/>
    </row>
    <row r="171" ht="14.25" customHeight="1">
      <c r="I171" s="115"/>
      <c r="J171" s="115"/>
      <c r="K171" s="115"/>
    </row>
    <row r="172" ht="14.25" customHeight="1">
      <c r="I172" s="115"/>
      <c r="J172" s="115"/>
      <c r="K172" s="115"/>
    </row>
    <row r="173" ht="14.25" customHeight="1">
      <c r="I173" s="115"/>
      <c r="J173" s="115"/>
      <c r="K173" s="115"/>
    </row>
    <row r="174" ht="14.25" customHeight="1">
      <c r="I174" s="115"/>
      <c r="J174" s="115"/>
      <c r="K174" s="115"/>
    </row>
    <row r="175" ht="14.25" customHeight="1">
      <c r="I175" s="115"/>
      <c r="J175" s="115"/>
      <c r="K175" s="115"/>
    </row>
    <row r="176" ht="14.25" customHeight="1">
      <c r="I176" s="115"/>
      <c r="J176" s="115"/>
      <c r="K176" s="115"/>
    </row>
    <row r="177" ht="14.25" customHeight="1">
      <c r="I177" s="115"/>
      <c r="J177" s="115"/>
      <c r="K177" s="115"/>
    </row>
    <row r="178" ht="14.25" customHeight="1">
      <c r="I178" s="115"/>
      <c r="J178" s="115"/>
      <c r="K178" s="115"/>
    </row>
    <row r="179" ht="14.25" customHeight="1">
      <c r="I179" s="115"/>
      <c r="J179" s="115"/>
      <c r="K179" s="115"/>
    </row>
    <row r="180" ht="14.25" customHeight="1">
      <c r="I180" s="115"/>
      <c r="J180" s="115"/>
      <c r="K180" s="115"/>
    </row>
    <row r="181" ht="14.25" customHeight="1">
      <c r="I181" s="115"/>
      <c r="J181" s="115"/>
      <c r="K181" s="115"/>
    </row>
    <row r="182" ht="14.25" customHeight="1">
      <c r="I182" s="115"/>
      <c r="J182" s="115"/>
      <c r="K182" s="115"/>
    </row>
    <row r="183" ht="14.25" customHeight="1">
      <c r="I183" s="115"/>
      <c r="J183" s="115"/>
      <c r="K183" s="115"/>
    </row>
    <row r="184" ht="14.25" customHeight="1">
      <c r="I184" s="115"/>
      <c r="J184" s="115"/>
      <c r="K184" s="115"/>
    </row>
    <row r="185" ht="14.25" customHeight="1">
      <c r="I185" s="115"/>
      <c r="J185" s="115"/>
      <c r="K185" s="115"/>
    </row>
    <row r="186" ht="14.25" customHeight="1">
      <c r="I186" s="115"/>
      <c r="J186" s="115"/>
      <c r="K186" s="115"/>
    </row>
    <row r="187" ht="14.25" customHeight="1">
      <c r="I187" s="115"/>
      <c r="J187" s="115"/>
      <c r="K187" s="115"/>
    </row>
    <row r="188" ht="14.25" customHeight="1">
      <c r="I188" s="115"/>
      <c r="J188" s="115"/>
      <c r="K188" s="115"/>
    </row>
    <row r="189" ht="14.25" customHeight="1">
      <c r="I189" s="115"/>
      <c r="J189" s="115"/>
      <c r="K189" s="115"/>
    </row>
    <row r="190" ht="14.25" customHeight="1">
      <c r="I190" s="115"/>
      <c r="J190" s="115"/>
      <c r="K190" s="115"/>
    </row>
    <row r="191" ht="14.25" customHeight="1">
      <c r="I191" s="115"/>
      <c r="J191" s="115"/>
      <c r="K191" s="115"/>
    </row>
    <row r="192" ht="14.25" customHeight="1">
      <c r="I192" s="115"/>
      <c r="J192" s="115"/>
      <c r="K192" s="115"/>
    </row>
    <row r="193" ht="14.25" customHeight="1">
      <c r="I193" s="115"/>
      <c r="J193" s="115"/>
      <c r="K193" s="115"/>
    </row>
    <row r="194" ht="14.25" customHeight="1">
      <c r="I194" s="115"/>
      <c r="J194" s="115"/>
      <c r="K194" s="115"/>
    </row>
    <row r="195" ht="14.25" customHeight="1">
      <c r="I195" s="115"/>
      <c r="J195" s="115"/>
      <c r="K195" s="115"/>
    </row>
    <row r="196" ht="14.25" customHeight="1">
      <c r="I196" s="115"/>
      <c r="J196" s="115"/>
      <c r="K196" s="115"/>
    </row>
    <row r="197" ht="14.25" customHeight="1">
      <c r="I197" s="115"/>
      <c r="J197" s="115"/>
      <c r="K197" s="115"/>
    </row>
    <row r="198" ht="14.25" customHeight="1">
      <c r="I198" s="115"/>
      <c r="J198" s="115"/>
      <c r="K198" s="115"/>
    </row>
    <row r="199" ht="14.25" customHeight="1">
      <c r="I199" s="115"/>
      <c r="J199" s="115"/>
      <c r="K199" s="115"/>
    </row>
    <row r="200" ht="14.25" customHeight="1">
      <c r="I200" s="115"/>
      <c r="J200" s="115"/>
      <c r="K200" s="115"/>
    </row>
    <row r="201" ht="14.25" customHeight="1">
      <c r="I201" s="115"/>
      <c r="J201" s="115"/>
      <c r="K201" s="115"/>
    </row>
    <row r="202" ht="14.25" customHeight="1">
      <c r="I202" s="115"/>
      <c r="J202" s="115"/>
      <c r="K202" s="115"/>
    </row>
    <row r="203" ht="14.25" customHeight="1">
      <c r="I203" s="115"/>
      <c r="J203" s="115"/>
      <c r="K203" s="115"/>
    </row>
    <row r="204" ht="14.25" customHeight="1">
      <c r="I204" s="115"/>
      <c r="J204" s="115"/>
      <c r="K204" s="115"/>
    </row>
    <row r="205" ht="14.25" customHeight="1">
      <c r="I205" s="115"/>
      <c r="J205" s="115"/>
      <c r="K205" s="115"/>
    </row>
    <row r="206" ht="14.25" customHeight="1">
      <c r="I206" s="115"/>
      <c r="J206" s="115"/>
      <c r="K206" s="115"/>
    </row>
    <row r="207" ht="14.25" customHeight="1">
      <c r="I207" s="115"/>
      <c r="J207" s="115"/>
      <c r="K207" s="115"/>
    </row>
    <row r="208" ht="14.25" customHeight="1">
      <c r="I208" s="115"/>
      <c r="J208" s="115"/>
      <c r="K208" s="115"/>
    </row>
    <row r="209" ht="14.25" customHeight="1">
      <c r="I209" s="115"/>
      <c r="J209" s="115"/>
      <c r="K209" s="115"/>
    </row>
    <row r="210" ht="14.25" customHeight="1">
      <c r="I210" s="115"/>
      <c r="J210" s="115"/>
      <c r="K210" s="115"/>
    </row>
    <row r="211" ht="14.25" customHeight="1">
      <c r="I211" s="115"/>
      <c r="J211" s="115"/>
      <c r="K211" s="115"/>
    </row>
    <row r="212" ht="14.25" customHeight="1">
      <c r="I212" s="115"/>
      <c r="J212" s="115"/>
      <c r="K212" s="115"/>
    </row>
    <row r="213" ht="14.25" customHeight="1">
      <c r="I213" s="115"/>
      <c r="J213" s="115"/>
      <c r="K213" s="115"/>
    </row>
    <row r="214" ht="14.25" customHeight="1">
      <c r="I214" s="115"/>
      <c r="J214" s="115"/>
      <c r="K214" s="115"/>
    </row>
    <row r="215" ht="14.25" customHeight="1">
      <c r="I215" s="115"/>
      <c r="J215" s="115"/>
      <c r="K215" s="115"/>
    </row>
    <row r="216" ht="14.25" customHeight="1">
      <c r="I216" s="115"/>
      <c r="J216" s="115"/>
      <c r="K216" s="115"/>
    </row>
    <row r="217" ht="14.25" customHeight="1">
      <c r="I217" s="115"/>
      <c r="J217" s="115"/>
      <c r="K217" s="115"/>
    </row>
    <row r="218" ht="14.25" customHeight="1">
      <c r="I218" s="115"/>
      <c r="J218" s="115"/>
      <c r="K218" s="115"/>
    </row>
    <row r="219" ht="14.25" customHeight="1">
      <c r="I219" s="115"/>
      <c r="J219" s="115"/>
      <c r="K219" s="115"/>
    </row>
    <row r="220" ht="14.25" customHeight="1">
      <c r="I220" s="115"/>
      <c r="J220" s="115"/>
      <c r="K220" s="115"/>
    </row>
    <row r="221" ht="14.25" customHeight="1">
      <c r="I221" s="115"/>
      <c r="J221" s="115"/>
      <c r="K221" s="115"/>
    </row>
    <row r="222" ht="14.25" customHeight="1">
      <c r="I222" s="115"/>
      <c r="J222" s="115"/>
      <c r="K222" s="115"/>
    </row>
    <row r="223" ht="14.25" customHeight="1">
      <c r="I223" s="115"/>
      <c r="J223" s="115"/>
      <c r="K223" s="115"/>
    </row>
    <row r="224" ht="14.25" customHeight="1">
      <c r="I224" s="115"/>
      <c r="J224" s="115"/>
      <c r="K224" s="115"/>
    </row>
    <row r="225" ht="14.25" customHeight="1">
      <c r="I225" s="115"/>
      <c r="J225" s="115"/>
      <c r="K225" s="115"/>
    </row>
    <row r="226" ht="14.25" customHeight="1">
      <c r="I226" s="115"/>
      <c r="J226" s="115"/>
      <c r="K226" s="115"/>
    </row>
    <row r="227" ht="14.25" customHeight="1">
      <c r="I227" s="115"/>
      <c r="J227" s="115"/>
      <c r="K227" s="115"/>
    </row>
    <row r="228" ht="14.25" customHeight="1">
      <c r="I228" s="115"/>
      <c r="J228" s="115"/>
      <c r="K228" s="115"/>
    </row>
    <row r="229" ht="14.25" customHeight="1">
      <c r="I229" s="115"/>
      <c r="J229" s="115"/>
      <c r="K229" s="115"/>
    </row>
    <row r="230" ht="14.25" customHeight="1">
      <c r="I230" s="115"/>
      <c r="J230" s="115"/>
      <c r="K230" s="115"/>
    </row>
    <row r="231" ht="14.25" customHeight="1">
      <c r="I231" s="115"/>
      <c r="J231" s="115"/>
      <c r="K231" s="115"/>
    </row>
    <row r="232" ht="14.25" customHeight="1">
      <c r="I232" s="115"/>
      <c r="J232" s="115"/>
      <c r="K232" s="115"/>
    </row>
    <row r="233" ht="14.25" customHeight="1">
      <c r="I233" s="115"/>
      <c r="J233" s="115"/>
      <c r="K233" s="115"/>
    </row>
    <row r="234" ht="14.25" customHeight="1">
      <c r="I234" s="115"/>
      <c r="J234" s="115"/>
      <c r="K234" s="115"/>
    </row>
    <row r="235" ht="14.25" customHeight="1">
      <c r="I235" s="115"/>
      <c r="J235" s="115"/>
      <c r="K235" s="115"/>
    </row>
    <row r="236" ht="14.25" customHeight="1">
      <c r="I236" s="115"/>
      <c r="J236" s="115"/>
      <c r="K236" s="115"/>
    </row>
    <row r="237" ht="14.25" customHeight="1">
      <c r="I237" s="115"/>
      <c r="J237" s="115"/>
      <c r="K237" s="115"/>
    </row>
    <row r="238" ht="14.25" customHeight="1">
      <c r="I238" s="115"/>
      <c r="J238" s="115"/>
      <c r="K238" s="115"/>
    </row>
    <row r="239" ht="14.25" customHeight="1">
      <c r="I239" s="115"/>
      <c r="J239" s="115"/>
      <c r="K239" s="115"/>
    </row>
    <row r="240" ht="14.25" customHeight="1">
      <c r="I240" s="115"/>
      <c r="J240" s="115"/>
      <c r="K240" s="115"/>
    </row>
    <row r="241" ht="14.25" customHeight="1">
      <c r="I241" s="115"/>
      <c r="J241" s="115"/>
      <c r="K241" s="115"/>
    </row>
    <row r="242" ht="14.25" customHeight="1">
      <c r="I242" s="115"/>
      <c r="J242" s="115"/>
      <c r="K242" s="115"/>
    </row>
    <row r="243" ht="14.25" customHeight="1">
      <c r="I243" s="115"/>
      <c r="J243" s="115"/>
      <c r="K243" s="115"/>
    </row>
    <row r="244" ht="14.25" customHeight="1">
      <c r="I244" s="115"/>
      <c r="J244" s="115"/>
      <c r="K244" s="115"/>
    </row>
    <row r="245" ht="14.25" customHeight="1">
      <c r="I245" s="115"/>
      <c r="J245" s="115"/>
      <c r="K245" s="115"/>
    </row>
    <row r="246" ht="14.25" customHeight="1">
      <c r="I246" s="115"/>
      <c r="J246" s="115"/>
      <c r="K246" s="115"/>
    </row>
    <row r="247" ht="14.25" customHeight="1">
      <c r="I247" s="115"/>
      <c r="J247" s="115"/>
      <c r="K247" s="115"/>
    </row>
    <row r="248" ht="14.25" customHeight="1">
      <c r="I248" s="115"/>
      <c r="J248" s="115"/>
      <c r="K248" s="115"/>
    </row>
    <row r="249" ht="14.25" customHeight="1">
      <c r="I249" s="115"/>
      <c r="J249" s="115"/>
      <c r="K249" s="115"/>
    </row>
    <row r="250" ht="14.25" customHeight="1">
      <c r="I250" s="115"/>
      <c r="J250" s="115"/>
      <c r="K250" s="115"/>
    </row>
    <row r="251" ht="14.25" customHeight="1">
      <c r="I251" s="115"/>
      <c r="J251" s="115"/>
      <c r="K251" s="115"/>
    </row>
    <row r="252" ht="14.25" customHeight="1">
      <c r="I252" s="115"/>
      <c r="J252" s="115"/>
      <c r="K252" s="115"/>
    </row>
    <row r="253" ht="14.25" customHeight="1">
      <c r="I253" s="115"/>
      <c r="J253" s="115"/>
      <c r="K253" s="115"/>
    </row>
    <row r="254" ht="14.25" customHeight="1">
      <c r="I254" s="115"/>
      <c r="J254" s="115"/>
      <c r="K254" s="115"/>
    </row>
    <row r="255" ht="14.25" customHeight="1">
      <c r="I255" s="115"/>
      <c r="J255" s="115"/>
      <c r="K255" s="115"/>
    </row>
    <row r="256" ht="14.25" customHeight="1">
      <c r="I256" s="115"/>
      <c r="J256" s="115"/>
      <c r="K256" s="115"/>
    </row>
    <row r="257" ht="14.25" customHeight="1">
      <c r="I257" s="115"/>
      <c r="J257" s="115"/>
      <c r="K257" s="115"/>
    </row>
    <row r="258" ht="14.25" customHeight="1">
      <c r="I258" s="115"/>
      <c r="J258" s="115"/>
      <c r="K258" s="115"/>
    </row>
  </sheetData>
  <mergeCells count="5">
    <mergeCell ref="B3:E4"/>
    <mergeCell ref="F3:H3"/>
    <mergeCell ref="I3:K3"/>
    <mergeCell ref="N3:O3"/>
    <mergeCell ref="C5:C5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11.43"/>
    <col customWidth="1" min="4" max="4" width="8.71"/>
    <col customWidth="1" min="5" max="5" width="31.29"/>
    <col customWidth="1" min="6" max="6" width="13.0"/>
    <col customWidth="1" min="7" max="7" width="13.14"/>
    <col customWidth="1" min="8" max="8" width="13.43"/>
    <col customWidth="1" min="9" max="11" width="8.71"/>
    <col customWidth="1" min="12" max="14" width="12.14"/>
    <col customWidth="1" min="15" max="28" width="8.71"/>
  </cols>
  <sheetData>
    <row r="1" ht="14.25" customHeight="1">
      <c r="L1" s="115"/>
      <c r="M1" s="115"/>
      <c r="N1" s="115"/>
    </row>
    <row r="2" ht="14.25" customHeight="1">
      <c r="L2" s="115"/>
      <c r="M2" s="115"/>
      <c r="N2" s="115"/>
    </row>
    <row r="3" ht="14.25" customHeight="1">
      <c r="B3" s="103" t="s">
        <v>316</v>
      </c>
      <c r="C3" s="104"/>
      <c r="D3" s="104"/>
      <c r="E3" s="42"/>
      <c r="F3" s="119" t="s">
        <v>317</v>
      </c>
      <c r="G3" s="91"/>
      <c r="H3" s="40"/>
      <c r="I3" s="106" t="s">
        <v>318</v>
      </c>
      <c r="J3" s="91"/>
      <c r="K3" s="40"/>
      <c r="L3" s="116" t="s">
        <v>319</v>
      </c>
      <c r="M3" s="91"/>
      <c r="N3" s="4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ht="14.25" customHeight="1">
      <c r="B4" s="44"/>
      <c r="C4" s="108"/>
      <c r="D4" s="108"/>
      <c r="E4" s="45"/>
      <c r="F4" s="29">
        <v>2022.0</v>
      </c>
      <c r="G4" s="29">
        <v>2023.0</v>
      </c>
      <c r="H4" s="29">
        <v>2024.0</v>
      </c>
      <c r="I4" s="29">
        <v>2022.0</v>
      </c>
      <c r="J4" s="29">
        <v>2023.0</v>
      </c>
      <c r="K4" s="29">
        <v>2024.0</v>
      </c>
      <c r="L4" s="29">
        <v>2022.0</v>
      </c>
      <c r="M4" s="29">
        <v>2023.0</v>
      </c>
      <c r="N4" s="29">
        <v>2024.0</v>
      </c>
      <c r="P4" s="120"/>
      <c r="Q4" s="121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</row>
    <row r="5" ht="14.25" customHeight="1">
      <c r="B5" s="67">
        <v>1.0</v>
      </c>
      <c r="C5" s="68" t="s">
        <v>14</v>
      </c>
      <c r="D5" s="67" t="s">
        <v>15</v>
      </c>
      <c r="E5" s="71" t="s">
        <v>16</v>
      </c>
      <c r="F5" s="122">
        <v>2.0</v>
      </c>
      <c r="G5" s="122">
        <v>2.0</v>
      </c>
      <c r="H5" s="122">
        <v>2.0</v>
      </c>
      <c r="I5" s="122">
        <v>4.0</v>
      </c>
      <c r="J5" s="122">
        <v>4.0</v>
      </c>
      <c r="K5" s="122">
        <v>4.0</v>
      </c>
      <c r="L5" s="123" t="str">
        <f t="shared" ref="L5:N5" si="1">F5/I5</f>
        <v>  0.50000 </v>
      </c>
      <c r="M5" s="123" t="str">
        <f t="shared" si="1"/>
        <v>  0.50000 </v>
      </c>
      <c r="N5" s="123" t="str">
        <f t="shared" si="1"/>
        <v>  0.50000 </v>
      </c>
      <c r="P5" s="120"/>
      <c r="Q5" s="121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</row>
    <row r="6" ht="14.25" customHeight="1">
      <c r="B6" s="67">
        <v>2.0</v>
      </c>
      <c r="C6" s="52"/>
      <c r="D6" s="67" t="s">
        <v>98</v>
      </c>
      <c r="E6" s="71" t="s">
        <v>99</v>
      </c>
      <c r="F6" s="28">
        <v>1.0</v>
      </c>
      <c r="G6" s="28">
        <v>1.0</v>
      </c>
      <c r="H6" s="28">
        <v>1.0</v>
      </c>
      <c r="I6" s="28">
        <v>3.0</v>
      </c>
      <c r="J6" s="28">
        <v>3.0</v>
      </c>
      <c r="K6" s="28">
        <v>3.0</v>
      </c>
      <c r="L6" s="123" t="str">
        <f t="shared" ref="L6:N6" si="2">F6/I6</f>
        <v>  0.33333 </v>
      </c>
      <c r="M6" s="123" t="str">
        <f t="shared" si="2"/>
        <v>  0.33333 </v>
      </c>
      <c r="N6" s="123" t="str">
        <f t="shared" si="2"/>
        <v>  0.33333 </v>
      </c>
      <c r="P6" s="120"/>
      <c r="Q6" s="121"/>
      <c r="R6" s="120"/>
      <c r="S6" s="120"/>
      <c r="T6" s="120"/>
      <c r="U6" s="120"/>
      <c r="V6" s="120"/>
      <c r="W6" s="120"/>
      <c r="X6" s="120"/>
      <c r="Y6" s="124"/>
      <c r="Z6" s="120"/>
      <c r="AA6" s="120"/>
      <c r="AB6" s="120"/>
    </row>
    <row r="7" ht="14.25" customHeight="1">
      <c r="B7" s="67">
        <v>3.0</v>
      </c>
      <c r="C7" s="52"/>
      <c r="D7" s="67" t="s">
        <v>78</v>
      </c>
      <c r="E7" s="71" t="s">
        <v>79</v>
      </c>
      <c r="F7" s="28">
        <v>3.0</v>
      </c>
      <c r="G7" s="28">
        <v>2.0</v>
      </c>
      <c r="H7" s="28">
        <v>2.0</v>
      </c>
      <c r="I7" s="28">
        <v>5.0</v>
      </c>
      <c r="J7" s="28">
        <v>4.0</v>
      </c>
      <c r="K7" s="28">
        <v>4.0</v>
      </c>
      <c r="L7" s="123" t="str">
        <f t="shared" ref="L7:N7" si="3">F7/I7</f>
        <v>  0.60000 </v>
      </c>
      <c r="M7" s="123" t="str">
        <f t="shared" si="3"/>
        <v>  0.50000 </v>
      </c>
      <c r="N7" s="123" t="str">
        <f t="shared" si="3"/>
        <v>  0.50000 </v>
      </c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8" ht="14.25" customHeight="1">
      <c r="B8" s="67">
        <v>4.0</v>
      </c>
      <c r="C8" s="52"/>
      <c r="D8" s="67" t="s">
        <v>104</v>
      </c>
      <c r="E8" s="71" t="s">
        <v>105</v>
      </c>
      <c r="F8" s="28">
        <v>3.0</v>
      </c>
      <c r="G8" s="28">
        <v>3.0</v>
      </c>
      <c r="H8" s="28">
        <v>2.0</v>
      </c>
      <c r="I8" s="28">
        <v>8.0</v>
      </c>
      <c r="J8" s="28">
        <v>7.0</v>
      </c>
      <c r="K8" s="28">
        <v>7.0</v>
      </c>
      <c r="L8" s="123" t="str">
        <f t="shared" ref="L8:N8" si="4">F8/I8</f>
        <v>  0.37500 </v>
      </c>
      <c r="M8" s="123" t="str">
        <f t="shared" si="4"/>
        <v>  0.42857 </v>
      </c>
      <c r="N8" s="123" t="str">
        <f t="shared" si="4"/>
        <v>  0.28571 </v>
      </c>
      <c r="P8" s="120"/>
      <c r="Q8" s="121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</row>
    <row r="9" ht="14.25" customHeight="1">
      <c r="B9" s="67">
        <v>5.0</v>
      </c>
      <c r="C9" s="52"/>
      <c r="D9" s="67" t="s">
        <v>18</v>
      </c>
      <c r="E9" s="71" t="s">
        <v>19</v>
      </c>
      <c r="F9" s="28">
        <v>1.0</v>
      </c>
      <c r="G9" s="28">
        <v>2.0</v>
      </c>
      <c r="H9" s="28">
        <v>2.0</v>
      </c>
      <c r="I9" s="28">
        <v>3.0</v>
      </c>
      <c r="J9" s="28">
        <v>4.0</v>
      </c>
      <c r="K9" s="28">
        <v>4.0</v>
      </c>
      <c r="L9" s="123" t="str">
        <f t="shared" ref="L9:N9" si="5">F9/I9</f>
        <v>  0.33333 </v>
      </c>
      <c r="M9" s="123" t="str">
        <f t="shared" si="5"/>
        <v>  0.50000 </v>
      </c>
      <c r="N9" s="123" t="str">
        <f t="shared" si="5"/>
        <v>  0.50000 </v>
      </c>
      <c r="P9" s="120"/>
      <c r="Q9" s="121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</row>
    <row r="10" ht="14.25" customHeight="1">
      <c r="B10" s="67">
        <v>6.0</v>
      </c>
      <c r="C10" s="52"/>
      <c r="D10" s="67" t="s">
        <v>108</v>
      </c>
      <c r="E10" s="71" t="s">
        <v>109</v>
      </c>
      <c r="F10" s="28">
        <v>1.0</v>
      </c>
      <c r="G10" s="28">
        <v>1.0</v>
      </c>
      <c r="H10" s="28">
        <v>1.0</v>
      </c>
      <c r="I10" s="28">
        <v>2.0</v>
      </c>
      <c r="J10" s="28">
        <v>2.0</v>
      </c>
      <c r="K10" s="28">
        <v>2.0</v>
      </c>
      <c r="L10" s="123" t="str">
        <f t="shared" ref="L10:N10" si="6">F10/I10</f>
        <v>  0.50000 </v>
      </c>
      <c r="M10" s="123" t="str">
        <f t="shared" si="6"/>
        <v>  0.50000 </v>
      </c>
      <c r="N10" s="123" t="str">
        <f t="shared" si="6"/>
        <v>  0.50000 </v>
      </c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ht="14.25" customHeight="1">
      <c r="B11" s="67">
        <v>7.0</v>
      </c>
      <c r="C11" s="52"/>
      <c r="D11" s="67" t="s">
        <v>222</v>
      </c>
      <c r="E11" s="71" t="s">
        <v>223</v>
      </c>
      <c r="F11" s="28">
        <v>1.0</v>
      </c>
      <c r="G11" s="28">
        <v>1.0</v>
      </c>
      <c r="H11" s="28">
        <v>1.0</v>
      </c>
      <c r="I11" s="28">
        <v>3.0</v>
      </c>
      <c r="J11" s="28">
        <v>2.0</v>
      </c>
      <c r="K11" s="28">
        <v>2.0</v>
      </c>
      <c r="L11" s="123" t="str">
        <f t="shared" ref="L11:N11" si="7">F11/I11</f>
        <v>  0.33333 </v>
      </c>
      <c r="M11" s="123" t="str">
        <f t="shared" si="7"/>
        <v>  0.50000 </v>
      </c>
      <c r="N11" s="123" t="str">
        <f t="shared" si="7"/>
        <v>  0.50000 </v>
      </c>
      <c r="Q11" s="120"/>
      <c r="R11" s="121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 ht="14.25" customHeight="1">
      <c r="B12" s="67">
        <v>8.0</v>
      </c>
      <c r="C12" s="52"/>
      <c r="D12" s="67" t="s">
        <v>74</v>
      </c>
      <c r="E12" s="71" t="s">
        <v>75</v>
      </c>
      <c r="F12" s="122">
        <v>1.0</v>
      </c>
      <c r="G12" s="122">
        <v>1.0</v>
      </c>
      <c r="H12" s="122">
        <v>1.0</v>
      </c>
      <c r="I12" s="122">
        <v>3.0</v>
      </c>
      <c r="J12" s="122">
        <v>3.0</v>
      </c>
      <c r="K12" s="122">
        <v>3.0</v>
      </c>
      <c r="L12" s="123" t="str">
        <f t="shared" ref="L12:N12" si="8">F12/I12</f>
        <v>  0.33333 </v>
      </c>
      <c r="M12" s="123" t="str">
        <f t="shared" si="8"/>
        <v>  0.33333 </v>
      </c>
      <c r="N12" s="123" t="str">
        <f t="shared" si="8"/>
        <v>  0.33333 </v>
      </c>
      <c r="Q12" s="120"/>
      <c r="R12" s="121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ht="14.25" customHeight="1">
      <c r="B13" s="67">
        <v>9.0</v>
      </c>
      <c r="C13" s="52"/>
      <c r="D13" s="67" t="s">
        <v>28</v>
      </c>
      <c r="E13" s="71" t="s">
        <v>29</v>
      </c>
      <c r="F13" s="28">
        <v>1.0</v>
      </c>
      <c r="G13" s="28">
        <v>1.0</v>
      </c>
      <c r="H13" s="28">
        <v>1.0</v>
      </c>
      <c r="I13" s="28">
        <v>3.0</v>
      </c>
      <c r="J13" s="28">
        <v>3.0</v>
      </c>
      <c r="K13" s="28">
        <v>3.0</v>
      </c>
      <c r="L13" s="123" t="str">
        <f t="shared" ref="L13:N13" si="9">F13/I13</f>
        <v>  0.33333 </v>
      </c>
      <c r="M13" s="123" t="str">
        <f t="shared" si="9"/>
        <v>  0.33333 </v>
      </c>
      <c r="N13" s="123" t="str">
        <f t="shared" si="9"/>
        <v>  0.33333 </v>
      </c>
      <c r="Q13" s="120"/>
      <c r="R13" s="121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ht="14.25" customHeight="1">
      <c r="B14" s="67">
        <v>10.0</v>
      </c>
      <c r="C14" s="52"/>
      <c r="D14" s="67" t="s">
        <v>24</v>
      </c>
      <c r="E14" s="71" t="s">
        <v>25</v>
      </c>
      <c r="F14" s="122">
        <v>1.0</v>
      </c>
      <c r="G14" s="122">
        <v>2.0</v>
      </c>
      <c r="H14" s="122">
        <v>2.0</v>
      </c>
      <c r="I14" s="122">
        <v>3.0</v>
      </c>
      <c r="J14" s="122">
        <v>4.0</v>
      </c>
      <c r="K14" s="122">
        <v>4.0</v>
      </c>
      <c r="L14" s="123" t="str">
        <f t="shared" ref="L14:N14" si="10">F14/I14</f>
        <v>  0.33333 </v>
      </c>
      <c r="M14" s="123" t="str">
        <f t="shared" si="10"/>
        <v>  0.50000 </v>
      </c>
      <c r="N14" s="123" t="str">
        <f t="shared" si="10"/>
        <v>  0.50000 </v>
      </c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 ht="14.25" customHeight="1">
      <c r="B15" s="67">
        <v>11.0</v>
      </c>
      <c r="C15" s="52"/>
      <c r="D15" s="67" t="s">
        <v>110</v>
      </c>
      <c r="E15" s="71" t="s">
        <v>111</v>
      </c>
      <c r="F15" s="28">
        <v>2.0</v>
      </c>
      <c r="G15" s="28">
        <v>2.0</v>
      </c>
      <c r="H15" s="28">
        <v>2.0</v>
      </c>
      <c r="I15" s="28">
        <v>6.0</v>
      </c>
      <c r="J15" s="28">
        <v>4.0</v>
      </c>
      <c r="K15" s="28">
        <v>4.0</v>
      </c>
      <c r="L15" s="123" t="str">
        <f t="shared" ref="L15:N15" si="11">F15/I15</f>
        <v>  0.33333 </v>
      </c>
      <c r="M15" s="123" t="str">
        <f t="shared" si="11"/>
        <v>  0.50000 </v>
      </c>
      <c r="N15" s="123" t="str">
        <f t="shared" si="11"/>
        <v>  0.50000 </v>
      </c>
      <c r="P15" s="120"/>
      <c r="Q15" s="121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 ht="14.25" customHeight="1">
      <c r="B16" s="67">
        <v>12.0</v>
      </c>
      <c r="C16" s="52"/>
      <c r="D16" s="67" t="s">
        <v>26</v>
      </c>
      <c r="E16" s="71" t="s">
        <v>27</v>
      </c>
      <c r="F16" s="28">
        <v>1.0</v>
      </c>
      <c r="G16" s="28">
        <v>1.0</v>
      </c>
      <c r="H16" s="28">
        <v>1.0</v>
      </c>
      <c r="I16" s="28">
        <v>3.0</v>
      </c>
      <c r="J16" s="28">
        <v>3.0</v>
      </c>
      <c r="K16" s="28">
        <v>3.0</v>
      </c>
      <c r="L16" s="123" t="str">
        <f t="shared" ref="L16:N16" si="12">F16/I16</f>
        <v>  0.33333 </v>
      </c>
      <c r="M16" s="123" t="str">
        <f t="shared" si="12"/>
        <v>  0.33333 </v>
      </c>
      <c r="N16" s="123" t="str">
        <f t="shared" si="12"/>
        <v>  0.33333 </v>
      </c>
      <c r="P16" s="120"/>
      <c r="Q16" s="121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 ht="14.25" customHeight="1">
      <c r="B17" s="67">
        <v>13.0</v>
      </c>
      <c r="C17" s="52"/>
      <c r="D17" s="67" t="s">
        <v>30</v>
      </c>
      <c r="E17" s="71" t="s">
        <v>31</v>
      </c>
      <c r="F17" s="28">
        <v>2.0</v>
      </c>
      <c r="G17" s="28">
        <v>2.0</v>
      </c>
      <c r="H17" s="28">
        <v>2.0</v>
      </c>
      <c r="I17" s="28">
        <v>5.0</v>
      </c>
      <c r="J17" s="28">
        <v>5.0</v>
      </c>
      <c r="K17" s="28">
        <v>5.0</v>
      </c>
      <c r="L17" s="123" t="str">
        <f t="shared" ref="L17:N17" si="13">F17/I17</f>
        <v>  0.40000 </v>
      </c>
      <c r="M17" s="123" t="str">
        <f t="shared" si="13"/>
        <v>  0.40000 </v>
      </c>
      <c r="N17" s="123" t="str">
        <f t="shared" si="13"/>
        <v>  0.40000 </v>
      </c>
      <c r="P17" s="120"/>
      <c r="Q17" s="121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 ht="14.25" customHeight="1">
      <c r="B18" s="67">
        <v>14.0</v>
      </c>
      <c r="C18" s="52"/>
      <c r="D18" s="67" t="s">
        <v>120</v>
      </c>
      <c r="E18" s="71" t="s">
        <v>121</v>
      </c>
      <c r="F18" s="28">
        <v>3.0</v>
      </c>
      <c r="G18" s="28">
        <v>4.0</v>
      </c>
      <c r="H18" s="28">
        <v>4.0</v>
      </c>
      <c r="I18" s="28">
        <v>5.0</v>
      </c>
      <c r="J18" s="28">
        <v>5.0</v>
      </c>
      <c r="K18" s="28">
        <v>6.0</v>
      </c>
      <c r="L18" s="123" t="str">
        <f t="shared" ref="L18:N18" si="14">F18/I18</f>
        <v>  0.60000 </v>
      </c>
      <c r="M18" s="123" t="str">
        <f t="shared" si="14"/>
        <v>  0.80000 </v>
      </c>
      <c r="N18" s="123" t="str">
        <f t="shared" si="14"/>
        <v>  0.66667 </v>
      </c>
      <c r="P18" s="120"/>
      <c r="Q18" s="121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 ht="14.25" customHeight="1">
      <c r="B19" s="67">
        <v>15.0</v>
      </c>
      <c r="C19" s="52"/>
      <c r="D19" s="67" t="s">
        <v>118</v>
      </c>
      <c r="E19" s="71" t="s">
        <v>119</v>
      </c>
      <c r="F19" s="28">
        <v>2.0</v>
      </c>
      <c r="G19" s="28">
        <v>2.0</v>
      </c>
      <c r="H19" s="28">
        <v>2.0</v>
      </c>
      <c r="I19" s="28">
        <v>5.0</v>
      </c>
      <c r="J19" s="28">
        <v>5.0</v>
      </c>
      <c r="K19" s="28">
        <v>5.0</v>
      </c>
      <c r="L19" s="123" t="str">
        <f t="shared" ref="L19:N19" si="15">F19/I19</f>
        <v>  0.40000 </v>
      </c>
      <c r="M19" s="123" t="str">
        <f t="shared" si="15"/>
        <v>  0.40000 </v>
      </c>
      <c r="N19" s="123" t="str">
        <f t="shared" si="15"/>
        <v>  0.40000 </v>
      </c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 ht="14.25" customHeight="1">
      <c r="B20" s="67">
        <v>16.0</v>
      </c>
      <c r="C20" s="52"/>
      <c r="D20" s="67" t="s">
        <v>32</v>
      </c>
      <c r="E20" s="71" t="s">
        <v>33</v>
      </c>
      <c r="F20" s="28">
        <v>3.0</v>
      </c>
      <c r="G20" s="28">
        <v>3.0</v>
      </c>
      <c r="H20" s="28">
        <v>3.0</v>
      </c>
      <c r="I20" s="28">
        <v>9.0</v>
      </c>
      <c r="J20" s="28">
        <v>9.0</v>
      </c>
      <c r="K20" s="28">
        <v>9.0</v>
      </c>
      <c r="L20" s="123" t="str">
        <f t="shared" ref="L20:N20" si="16">F20/I20</f>
        <v>  0.33333 </v>
      </c>
      <c r="M20" s="123" t="str">
        <f t="shared" si="16"/>
        <v>  0.33333 </v>
      </c>
      <c r="N20" s="123" t="str">
        <f t="shared" si="16"/>
        <v>  0.33333 </v>
      </c>
      <c r="P20" s="120"/>
      <c r="Q20" s="121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 ht="14.25" customHeight="1">
      <c r="B21" s="67">
        <v>17.0</v>
      </c>
      <c r="C21" s="52"/>
      <c r="D21" s="67" t="s">
        <v>126</v>
      </c>
      <c r="E21" s="71" t="s">
        <v>127</v>
      </c>
      <c r="F21" s="122">
        <v>2.0</v>
      </c>
      <c r="G21" s="122">
        <v>2.0</v>
      </c>
      <c r="H21" s="122">
        <v>2.0</v>
      </c>
      <c r="I21" s="122">
        <v>6.0</v>
      </c>
      <c r="J21" s="122">
        <v>5.0</v>
      </c>
      <c r="K21" s="122">
        <v>5.0</v>
      </c>
      <c r="L21" s="123" t="str">
        <f t="shared" ref="L21:N21" si="17">F21/I21</f>
        <v>  0.33333 </v>
      </c>
      <c r="M21" s="123" t="str">
        <f t="shared" si="17"/>
        <v>  0.40000 </v>
      </c>
      <c r="N21" s="123" t="str">
        <f t="shared" si="17"/>
        <v>  0.40000 </v>
      </c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 ht="14.25" customHeight="1">
      <c r="B22" s="67">
        <v>18.0</v>
      </c>
      <c r="C22" s="52"/>
      <c r="D22" s="67" t="s">
        <v>134</v>
      </c>
      <c r="E22" s="71" t="s">
        <v>135</v>
      </c>
      <c r="F22" s="28">
        <v>1.0</v>
      </c>
      <c r="G22" s="28">
        <v>1.0</v>
      </c>
      <c r="H22" s="28">
        <v>1.0</v>
      </c>
      <c r="I22" s="28">
        <v>2.0</v>
      </c>
      <c r="J22" s="28">
        <v>2.0</v>
      </c>
      <c r="K22" s="28">
        <v>2.0</v>
      </c>
      <c r="L22" s="123" t="str">
        <f t="shared" ref="L22:N22" si="18">F22/I22</f>
        <v>  0.50000 </v>
      </c>
      <c r="M22" s="123" t="str">
        <f t="shared" si="18"/>
        <v>  0.50000 </v>
      </c>
      <c r="N22" s="123" t="str">
        <f t="shared" si="18"/>
        <v>  0.50000 </v>
      </c>
      <c r="P22" s="120"/>
      <c r="Q22" s="121"/>
      <c r="R22" s="120"/>
      <c r="S22" s="120"/>
      <c r="T22" s="120"/>
      <c r="U22" s="120"/>
      <c r="V22" s="120"/>
      <c r="W22" s="120"/>
      <c r="X22" s="120"/>
      <c r="Y22" s="124"/>
      <c r="Z22" s="124"/>
      <c r="AA22" s="124"/>
    </row>
    <row r="23" ht="14.25" customHeight="1">
      <c r="B23" s="67">
        <v>19.0</v>
      </c>
      <c r="C23" s="52"/>
      <c r="D23" s="67" t="s">
        <v>234</v>
      </c>
      <c r="E23" s="71" t="s">
        <v>235</v>
      </c>
      <c r="F23" s="28">
        <v>2.0</v>
      </c>
      <c r="G23" s="28">
        <v>2.0</v>
      </c>
      <c r="H23" s="28">
        <v>2.0</v>
      </c>
      <c r="I23" s="28">
        <v>4.0</v>
      </c>
      <c r="J23" s="28">
        <v>4.0</v>
      </c>
      <c r="K23" s="28">
        <v>4.0</v>
      </c>
      <c r="L23" s="123" t="str">
        <f t="shared" ref="L23:N23" si="19">F23/I23</f>
        <v>  0.50000 </v>
      </c>
      <c r="M23" s="123" t="str">
        <f t="shared" si="19"/>
        <v>  0.50000 </v>
      </c>
      <c r="N23" s="123" t="str">
        <f t="shared" si="19"/>
        <v>  0.50000 </v>
      </c>
      <c r="P23" s="120"/>
      <c r="Q23" s="121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ht="14.25" customHeight="1">
      <c r="B24" s="67">
        <v>20.0</v>
      </c>
      <c r="C24" s="52"/>
      <c r="D24" s="67" t="s">
        <v>40</v>
      </c>
      <c r="E24" s="71" t="s">
        <v>41</v>
      </c>
      <c r="F24" s="28">
        <v>2.0</v>
      </c>
      <c r="G24" s="28">
        <v>2.0</v>
      </c>
      <c r="H24" s="28">
        <v>2.0</v>
      </c>
      <c r="I24" s="28">
        <v>4.0</v>
      </c>
      <c r="J24" s="28">
        <v>4.0</v>
      </c>
      <c r="K24" s="28">
        <v>4.0</v>
      </c>
      <c r="L24" s="123" t="str">
        <f t="shared" ref="L24:N24" si="20">F24/I24</f>
        <v>  0.50000 </v>
      </c>
      <c r="M24" s="123" t="str">
        <f t="shared" si="20"/>
        <v>  0.50000 </v>
      </c>
      <c r="N24" s="123" t="str">
        <f t="shared" si="20"/>
        <v>  0.50000 </v>
      </c>
      <c r="P24" s="120"/>
      <c r="Q24" s="121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ht="14.25" customHeight="1">
      <c r="B25" s="67">
        <v>21.0</v>
      </c>
      <c r="C25" s="52"/>
      <c r="D25" s="67" t="s">
        <v>38</v>
      </c>
      <c r="E25" s="71" t="s">
        <v>39</v>
      </c>
      <c r="F25" s="28">
        <v>3.0</v>
      </c>
      <c r="G25" s="28">
        <v>3.0</v>
      </c>
      <c r="H25" s="28">
        <v>3.0</v>
      </c>
      <c r="I25" s="28">
        <v>9.0</v>
      </c>
      <c r="J25" s="28">
        <v>9.0</v>
      </c>
      <c r="K25" s="28">
        <v>9.0</v>
      </c>
      <c r="L25" s="123" t="str">
        <f t="shared" ref="L25:N25" si="21">F25/I25</f>
        <v>  0.33333 </v>
      </c>
      <c r="M25" s="123" t="str">
        <f t="shared" si="21"/>
        <v>  0.33333 </v>
      </c>
      <c r="N25" s="123" t="str">
        <f t="shared" si="21"/>
        <v>  0.33333 </v>
      </c>
      <c r="P25" s="120"/>
      <c r="Q25" s="121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ht="14.25" customHeight="1">
      <c r="B26" s="67">
        <v>22.0</v>
      </c>
      <c r="C26" s="52"/>
      <c r="D26" s="67" t="s">
        <v>140</v>
      </c>
      <c r="E26" s="71" t="s">
        <v>141</v>
      </c>
      <c r="F26" s="122">
        <v>1.0</v>
      </c>
      <c r="G26" s="122">
        <v>1.0</v>
      </c>
      <c r="H26" s="122">
        <v>1.0</v>
      </c>
      <c r="I26" s="122">
        <v>3.0</v>
      </c>
      <c r="J26" s="122">
        <v>3.0</v>
      </c>
      <c r="K26" s="122">
        <v>3.0</v>
      </c>
      <c r="L26" s="123" t="str">
        <f t="shared" ref="L26:N26" si="22">F26/I26</f>
        <v>  0.33333 </v>
      </c>
      <c r="M26" s="123" t="str">
        <f t="shared" si="22"/>
        <v>  0.33333 </v>
      </c>
      <c r="N26" s="123" t="str">
        <f t="shared" si="22"/>
        <v>  0.33333 </v>
      </c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ht="14.25" customHeight="1">
      <c r="B27" s="67">
        <v>23.0</v>
      </c>
      <c r="C27" s="52"/>
      <c r="D27" s="67" t="s">
        <v>42</v>
      </c>
      <c r="E27" s="71" t="s">
        <v>43</v>
      </c>
      <c r="F27" s="28">
        <v>2.0</v>
      </c>
      <c r="G27" s="28">
        <v>2.0</v>
      </c>
      <c r="H27" s="28">
        <v>2.0</v>
      </c>
      <c r="I27" s="28">
        <v>4.0</v>
      </c>
      <c r="J27" s="28">
        <v>4.0</v>
      </c>
      <c r="K27" s="28">
        <v>4.0</v>
      </c>
      <c r="L27" s="123" t="str">
        <f t="shared" ref="L27:N27" si="23">F27/I27</f>
        <v>  0.50000 </v>
      </c>
      <c r="M27" s="123" t="str">
        <f t="shared" si="23"/>
        <v>  0.50000 </v>
      </c>
      <c r="N27" s="123" t="str">
        <f t="shared" si="23"/>
        <v>  0.50000 </v>
      </c>
      <c r="P27" s="120"/>
      <c r="Q27" s="121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ht="14.25" customHeight="1">
      <c r="B28" s="67">
        <v>24.0</v>
      </c>
      <c r="C28" s="52"/>
      <c r="D28" s="67" t="s">
        <v>44</v>
      </c>
      <c r="E28" s="71" t="s">
        <v>45</v>
      </c>
      <c r="F28" s="28">
        <v>3.0</v>
      </c>
      <c r="G28" s="28">
        <v>3.0</v>
      </c>
      <c r="H28" s="28">
        <v>3.0</v>
      </c>
      <c r="I28" s="28">
        <v>6.0</v>
      </c>
      <c r="J28" s="28">
        <v>6.0</v>
      </c>
      <c r="K28" s="28">
        <v>6.0</v>
      </c>
      <c r="L28" s="123" t="str">
        <f t="shared" ref="L28:N28" si="24">F28/I28</f>
        <v>  0.50000 </v>
      </c>
      <c r="M28" s="123" t="str">
        <f t="shared" si="24"/>
        <v>  0.50000 </v>
      </c>
      <c r="N28" s="123" t="str">
        <f t="shared" si="24"/>
        <v>  0.50000 </v>
      </c>
      <c r="P28" s="120"/>
      <c r="Q28" s="121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 ht="14.25" customHeight="1">
      <c r="B29" s="67">
        <v>25.0</v>
      </c>
      <c r="C29" s="52"/>
      <c r="D29" s="67" t="s">
        <v>46</v>
      </c>
      <c r="E29" s="71" t="s">
        <v>47</v>
      </c>
      <c r="F29" s="122">
        <v>3.0</v>
      </c>
      <c r="G29" s="122">
        <v>3.0</v>
      </c>
      <c r="H29" s="122">
        <v>3.0</v>
      </c>
      <c r="I29" s="122">
        <v>8.0</v>
      </c>
      <c r="J29" s="122">
        <v>8.0</v>
      </c>
      <c r="K29" s="122">
        <v>8.0</v>
      </c>
      <c r="L29" s="123" t="str">
        <f t="shared" ref="L29:N29" si="25">F29/I29</f>
        <v>  0.37500 </v>
      </c>
      <c r="M29" s="123" t="str">
        <f t="shared" si="25"/>
        <v>  0.37500 </v>
      </c>
      <c r="N29" s="123" t="str">
        <f t="shared" si="25"/>
        <v>  0.37500 </v>
      </c>
      <c r="P29" s="120"/>
      <c r="Q29" s="121"/>
      <c r="R29" s="120"/>
      <c r="S29" s="120"/>
      <c r="T29" s="120"/>
      <c r="U29" s="120"/>
      <c r="V29" s="120"/>
      <c r="W29" s="120"/>
      <c r="X29" s="120"/>
      <c r="Y29" s="124"/>
      <c r="Z29" s="124"/>
      <c r="AA29" s="124"/>
    </row>
    <row r="30" ht="14.25" customHeight="1">
      <c r="B30" s="67">
        <v>26.0</v>
      </c>
      <c r="C30" s="52"/>
      <c r="D30" s="67" t="s">
        <v>150</v>
      </c>
      <c r="E30" s="71" t="s">
        <v>151</v>
      </c>
      <c r="F30" s="28">
        <v>1.0</v>
      </c>
      <c r="G30" s="28">
        <v>1.0</v>
      </c>
      <c r="H30" s="28">
        <v>1.0</v>
      </c>
      <c r="I30" s="28">
        <v>2.0</v>
      </c>
      <c r="J30" s="28">
        <v>2.0</v>
      </c>
      <c r="K30" s="28">
        <v>2.0</v>
      </c>
      <c r="L30" s="123" t="str">
        <f t="shared" ref="L30:N30" si="26">F30/I30</f>
        <v>  0.50000 </v>
      </c>
      <c r="M30" s="123" t="str">
        <f t="shared" si="26"/>
        <v>  0.50000 </v>
      </c>
      <c r="N30" s="123" t="str">
        <f t="shared" si="26"/>
        <v>  0.50000 </v>
      </c>
      <c r="P30" s="120"/>
      <c r="Q30" s="121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  <row r="31" ht="14.25" customHeight="1">
      <c r="B31" s="67">
        <v>27.0</v>
      </c>
      <c r="C31" s="52"/>
      <c r="D31" s="67" t="s">
        <v>48</v>
      </c>
      <c r="E31" s="71" t="s">
        <v>49</v>
      </c>
      <c r="F31" s="28">
        <v>2.0</v>
      </c>
      <c r="G31" s="28">
        <v>2.0</v>
      </c>
      <c r="H31" s="28">
        <v>2.0</v>
      </c>
      <c r="I31" s="28">
        <v>4.0</v>
      </c>
      <c r="J31" s="28">
        <v>4.0</v>
      </c>
      <c r="K31" s="28">
        <v>4.0</v>
      </c>
      <c r="L31" s="123" t="str">
        <f t="shared" ref="L31:N31" si="27">F31/I31</f>
        <v>  0.50000 </v>
      </c>
      <c r="M31" s="123" t="str">
        <f t="shared" si="27"/>
        <v>  0.50000 </v>
      </c>
      <c r="N31" s="123" t="str">
        <f t="shared" si="27"/>
        <v>  0.50000 </v>
      </c>
      <c r="P31" s="120"/>
      <c r="Q31" s="121"/>
      <c r="R31" s="120"/>
      <c r="S31" s="120"/>
      <c r="T31" s="120"/>
      <c r="U31" s="120"/>
      <c r="V31" s="120"/>
      <c r="W31" s="120"/>
      <c r="X31" s="120"/>
      <c r="Y31" s="120"/>
      <c r="Z31" s="120"/>
      <c r="AA31" s="120"/>
    </row>
    <row r="32" ht="14.25" customHeight="1">
      <c r="B32" s="67">
        <v>28.0</v>
      </c>
      <c r="C32" s="52"/>
      <c r="D32" s="67" t="s">
        <v>178</v>
      </c>
      <c r="E32" s="71" t="s">
        <v>179</v>
      </c>
      <c r="F32" s="28">
        <v>1.0</v>
      </c>
      <c r="G32" s="28">
        <v>2.0</v>
      </c>
      <c r="H32" s="28">
        <v>2.0</v>
      </c>
      <c r="I32" s="28">
        <v>3.0</v>
      </c>
      <c r="J32" s="28">
        <v>6.0</v>
      </c>
      <c r="K32" s="28">
        <v>6.0</v>
      </c>
      <c r="L32" s="123" t="str">
        <f t="shared" ref="L32:N32" si="28">F32/I32</f>
        <v>  0.33333 </v>
      </c>
      <c r="M32" s="123" t="str">
        <f t="shared" si="28"/>
        <v>  0.33333 </v>
      </c>
      <c r="N32" s="123" t="str">
        <f t="shared" si="28"/>
        <v>  0.33333 </v>
      </c>
      <c r="P32" s="120"/>
      <c r="Q32" s="121"/>
      <c r="R32" s="120"/>
      <c r="S32" s="120"/>
      <c r="T32" s="120"/>
      <c r="U32" s="120"/>
      <c r="V32" s="120"/>
      <c r="W32" s="120"/>
      <c r="X32" s="120"/>
      <c r="Y32" s="120"/>
      <c r="Z32" s="120"/>
      <c r="AA32" s="120"/>
    </row>
    <row r="33" ht="14.25" customHeight="1">
      <c r="B33" s="67">
        <v>29.0</v>
      </c>
      <c r="C33" s="52"/>
      <c r="D33" s="67" t="s">
        <v>162</v>
      </c>
      <c r="E33" s="71" t="s">
        <v>163</v>
      </c>
      <c r="F33" s="28">
        <v>1.0</v>
      </c>
      <c r="G33" s="28">
        <v>1.0</v>
      </c>
      <c r="H33" s="28">
        <v>1.0</v>
      </c>
      <c r="I33" s="28">
        <v>2.0</v>
      </c>
      <c r="J33" s="28">
        <v>2.0</v>
      </c>
      <c r="K33" s="28">
        <v>3.0</v>
      </c>
      <c r="L33" s="123" t="str">
        <f t="shared" ref="L33:N33" si="29">F33/I33</f>
        <v>  0.50000 </v>
      </c>
      <c r="M33" s="123" t="str">
        <f t="shared" si="29"/>
        <v>  0.50000 </v>
      </c>
      <c r="N33" s="123" t="str">
        <f t="shared" si="29"/>
        <v>  0.33333 </v>
      </c>
      <c r="P33" s="120"/>
      <c r="Q33" s="121"/>
      <c r="R33" s="120"/>
      <c r="S33" s="120"/>
      <c r="T33" s="120"/>
      <c r="U33" s="120"/>
      <c r="V33" s="120"/>
      <c r="W33" s="120"/>
      <c r="X33" s="120"/>
      <c r="Y33" s="120"/>
      <c r="Z33" s="120"/>
      <c r="AA33" s="120"/>
    </row>
    <row r="34" ht="14.25" customHeight="1">
      <c r="B34" s="67">
        <v>30.0</v>
      </c>
      <c r="C34" s="52"/>
      <c r="D34" s="67" t="s">
        <v>68</v>
      </c>
      <c r="E34" s="71" t="s">
        <v>69</v>
      </c>
      <c r="F34" s="28">
        <v>2.0</v>
      </c>
      <c r="G34" s="28">
        <v>2.0</v>
      </c>
      <c r="H34" s="28">
        <v>2.0</v>
      </c>
      <c r="I34" s="28">
        <v>5.0</v>
      </c>
      <c r="J34" s="28">
        <v>5.0</v>
      </c>
      <c r="K34" s="28">
        <v>5.0</v>
      </c>
      <c r="L34" s="123" t="str">
        <f t="shared" ref="L34:N34" si="30">F34/I34</f>
        <v>  0.40000 </v>
      </c>
      <c r="M34" s="123" t="str">
        <f t="shared" si="30"/>
        <v>  0.40000 </v>
      </c>
      <c r="N34" s="123" t="str">
        <f t="shared" si="30"/>
        <v>  0.40000 </v>
      </c>
      <c r="P34" s="120"/>
      <c r="Q34" s="121"/>
      <c r="R34" s="120"/>
      <c r="S34" s="120"/>
      <c r="T34" s="120"/>
      <c r="U34" s="120"/>
      <c r="V34" s="120"/>
      <c r="W34" s="120"/>
      <c r="X34" s="120"/>
      <c r="Y34" s="120"/>
      <c r="Z34" s="120"/>
      <c r="AA34" s="120"/>
    </row>
    <row r="35" ht="14.25" customHeight="1">
      <c r="B35" s="67">
        <v>31.0</v>
      </c>
      <c r="C35" s="52"/>
      <c r="D35" s="67" t="s">
        <v>52</v>
      </c>
      <c r="E35" s="71" t="s">
        <v>53</v>
      </c>
      <c r="F35" s="28">
        <v>3.0</v>
      </c>
      <c r="G35" s="28">
        <v>3.0</v>
      </c>
      <c r="H35" s="28">
        <v>3.0</v>
      </c>
      <c r="I35" s="28">
        <v>5.0</v>
      </c>
      <c r="J35" s="28">
        <v>5.0</v>
      </c>
      <c r="K35" s="28">
        <v>5.0</v>
      </c>
      <c r="L35" s="123" t="str">
        <f t="shared" ref="L35:N35" si="31">F35/I35</f>
        <v>  0.60000 </v>
      </c>
      <c r="M35" s="123" t="str">
        <f t="shared" si="31"/>
        <v>  0.60000 </v>
      </c>
      <c r="N35" s="123" t="str">
        <f t="shared" si="31"/>
        <v>  0.60000 </v>
      </c>
      <c r="P35" s="120"/>
      <c r="Q35" s="121"/>
      <c r="R35" s="120"/>
      <c r="S35" s="120"/>
      <c r="T35" s="120"/>
      <c r="U35" s="120"/>
      <c r="V35" s="120"/>
      <c r="W35" s="120"/>
      <c r="X35" s="120"/>
      <c r="Y35" s="120"/>
      <c r="Z35" s="120"/>
      <c r="AA35" s="120"/>
    </row>
    <row r="36" ht="14.25" customHeight="1">
      <c r="B36" s="67">
        <v>32.0</v>
      </c>
      <c r="C36" s="52"/>
      <c r="D36" s="67" t="s">
        <v>58</v>
      </c>
      <c r="E36" s="71" t="s">
        <v>59</v>
      </c>
      <c r="F36" s="28">
        <v>1.0</v>
      </c>
      <c r="G36" s="28">
        <v>2.0</v>
      </c>
      <c r="H36" s="28">
        <v>2.0</v>
      </c>
      <c r="I36" s="28">
        <v>2.0</v>
      </c>
      <c r="J36" s="28">
        <v>3.0</v>
      </c>
      <c r="K36" s="28">
        <v>3.0</v>
      </c>
      <c r="L36" s="123" t="str">
        <f t="shared" ref="L36:N36" si="32">F36/I36</f>
        <v>  0.50000 </v>
      </c>
      <c r="M36" s="123" t="str">
        <f t="shared" si="32"/>
        <v>  0.66667 </v>
      </c>
      <c r="N36" s="123" t="str">
        <f t="shared" si="32"/>
        <v>  0.66667 </v>
      </c>
      <c r="P36" s="120"/>
      <c r="Q36" s="121"/>
      <c r="R36" s="120"/>
      <c r="S36" s="120"/>
      <c r="T36" s="120"/>
      <c r="U36" s="120"/>
      <c r="V36" s="120"/>
      <c r="W36" s="120"/>
      <c r="X36" s="120"/>
      <c r="Y36" s="120"/>
      <c r="Z36" s="120"/>
      <c r="AA36" s="120"/>
    </row>
    <row r="37" ht="14.25" customHeight="1">
      <c r="B37" s="67">
        <v>33.0</v>
      </c>
      <c r="C37" s="52"/>
      <c r="D37" s="67" t="s">
        <v>60</v>
      </c>
      <c r="E37" s="71" t="s">
        <v>61</v>
      </c>
      <c r="F37" s="122">
        <v>3.0</v>
      </c>
      <c r="G37" s="122">
        <v>2.0</v>
      </c>
      <c r="H37" s="122">
        <v>2.0</v>
      </c>
      <c r="I37" s="122">
        <v>6.0</v>
      </c>
      <c r="J37" s="122">
        <v>5.0</v>
      </c>
      <c r="K37" s="122">
        <v>5.0</v>
      </c>
      <c r="L37" s="123" t="str">
        <f t="shared" ref="L37:N37" si="33">F37/I37</f>
        <v>  0.50000 </v>
      </c>
      <c r="M37" s="123" t="str">
        <f t="shared" si="33"/>
        <v>  0.40000 </v>
      </c>
      <c r="N37" s="123" t="str">
        <f t="shared" si="33"/>
        <v>  0.40000 </v>
      </c>
    </row>
    <row r="38" ht="14.25" customHeight="1">
      <c r="B38" s="67">
        <v>34.0</v>
      </c>
      <c r="C38" s="52"/>
      <c r="D38" s="67" t="s">
        <v>62</v>
      </c>
      <c r="E38" s="71" t="s">
        <v>63</v>
      </c>
      <c r="F38" s="122">
        <v>2.0</v>
      </c>
      <c r="G38" s="122">
        <v>2.0</v>
      </c>
      <c r="H38" s="122">
        <v>1.0</v>
      </c>
      <c r="I38" s="122">
        <v>5.0</v>
      </c>
      <c r="J38" s="122">
        <v>5.0</v>
      </c>
      <c r="K38" s="122">
        <v>3.0</v>
      </c>
      <c r="L38" s="123" t="str">
        <f t="shared" ref="L38:N38" si="34">F38/I38</f>
        <v>  0.40000 </v>
      </c>
      <c r="M38" s="123" t="str">
        <f t="shared" si="34"/>
        <v>  0.40000 </v>
      </c>
      <c r="N38" s="123" t="str">
        <f t="shared" si="34"/>
        <v>  0.33333 </v>
      </c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</row>
    <row r="39" ht="14.25" customHeight="1">
      <c r="B39" s="67">
        <v>35.0</v>
      </c>
      <c r="C39" s="52"/>
      <c r="D39" s="67" t="s">
        <v>54</v>
      </c>
      <c r="E39" s="71" t="s">
        <v>55</v>
      </c>
      <c r="F39" s="28">
        <v>2.0</v>
      </c>
      <c r="G39" s="28">
        <v>2.0</v>
      </c>
      <c r="H39" s="28">
        <v>2.0</v>
      </c>
      <c r="I39" s="28">
        <v>5.0</v>
      </c>
      <c r="J39" s="28">
        <v>5.0</v>
      </c>
      <c r="K39" s="28">
        <v>5.0</v>
      </c>
      <c r="L39" s="123" t="str">
        <f t="shared" ref="L39:N39" si="35">F39/I39</f>
        <v>  0.40000 </v>
      </c>
      <c r="M39" s="123" t="str">
        <f t="shared" si="35"/>
        <v>  0.40000 </v>
      </c>
      <c r="N39" s="123" t="str">
        <f t="shared" si="35"/>
        <v>  0.40000 </v>
      </c>
      <c r="P39" s="120"/>
      <c r="Q39" s="121"/>
      <c r="R39" s="120"/>
      <c r="S39" s="120"/>
      <c r="T39" s="120"/>
      <c r="U39" s="120"/>
      <c r="V39" s="120"/>
      <c r="W39" s="120"/>
      <c r="X39" s="120"/>
      <c r="Y39" s="120"/>
      <c r="Z39" s="120"/>
      <c r="AA39" s="120"/>
    </row>
    <row r="40" ht="14.25" customHeight="1">
      <c r="B40" s="67">
        <v>36.0</v>
      </c>
      <c r="C40" s="52"/>
      <c r="D40" s="67" t="s">
        <v>190</v>
      </c>
      <c r="E40" s="71" t="s">
        <v>191</v>
      </c>
      <c r="F40" s="28">
        <v>1.0</v>
      </c>
      <c r="G40" s="28">
        <v>1.0</v>
      </c>
      <c r="H40" s="28">
        <v>1.0</v>
      </c>
      <c r="I40" s="28">
        <v>2.0</v>
      </c>
      <c r="J40" s="28">
        <v>2.0</v>
      </c>
      <c r="K40" s="28">
        <v>2.0</v>
      </c>
      <c r="L40" s="123" t="str">
        <f t="shared" ref="L40:N40" si="36">F40/I40</f>
        <v>  0.50000 </v>
      </c>
      <c r="M40" s="123" t="str">
        <f t="shared" si="36"/>
        <v>  0.50000 </v>
      </c>
      <c r="N40" s="123" t="str">
        <f t="shared" si="36"/>
        <v>  0.50000 </v>
      </c>
      <c r="P40" s="120"/>
      <c r="Q40" s="121"/>
      <c r="R40" s="120"/>
      <c r="S40" s="120"/>
      <c r="T40" s="120"/>
      <c r="U40" s="120"/>
      <c r="V40" s="120"/>
      <c r="W40" s="120"/>
      <c r="X40" s="120"/>
      <c r="Y40" s="120"/>
      <c r="Z40" s="120"/>
      <c r="AA40" s="120"/>
    </row>
    <row r="41" ht="14.25" customHeight="1">
      <c r="B41" s="67">
        <v>37.0</v>
      </c>
      <c r="C41" s="52"/>
      <c r="D41" s="67" t="s">
        <v>64</v>
      </c>
      <c r="E41" s="71" t="s">
        <v>65</v>
      </c>
      <c r="F41" s="122">
        <v>1.0</v>
      </c>
      <c r="G41" s="122">
        <v>1.0</v>
      </c>
      <c r="H41" s="122">
        <v>2.0</v>
      </c>
      <c r="I41" s="122">
        <v>2.0</v>
      </c>
      <c r="J41" s="122">
        <v>2.0</v>
      </c>
      <c r="K41" s="122">
        <v>3.0</v>
      </c>
      <c r="L41" s="123" t="str">
        <f t="shared" ref="L41:N41" si="37">F41/I41</f>
        <v>  0.50000 </v>
      </c>
      <c r="M41" s="123" t="str">
        <f t="shared" si="37"/>
        <v>  0.50000 </v>
      </c>
      <c r="N41" s="123" t="str">
        <f t="shared" si="37"/>
        <v>  0.66667 </v>
      </c>
      <c r="P41" s="120"/>
      <c r="Q41" s="121"/>
      <c r="R41" s="120"/>
      <c r="S41" s="120"/>
      <c r="T41" s="120"/>
      <c r="U41" s="120"/>
      <c r="V41" s="120"/>
      <c r="W41" s="120"/>
      <c r="X41" s="120"/>
      <c r="Y41" s="120"/>
      <c r="Z41" s="120"/>
      <c r="AA41" s="120"/>
    </row>
    <row r="42" ht="14.25" customHeight="1">
      <c r="B42" s="67">
        <v>38.0</v>
      </c>
      <c r="C42" s="52"/>
      <c r="D42" s="67" t="s">
        <v>184</v>
      </c>
      <c r="E42" s="71" t="s">
        <v>185</v>
      </c>
      <c r="F42" s="28">
        <v>1.0</v>
      </c>
      <c r="G42" s="28">
        <v>1.0</v>
      </c>
      <c r="H42" s="28">
        <v>1.0</v>
      </c>
      <c r="I42" s="28">
        <v>3.0</v>
      </c>
      <c r="J42" s="28">
        <v>3.0</v>
      </c>
      <c r="K42" s="28">
        <v>3.0</v>
      </c>
      <c r="L42" s="123" t="str">
        <f t="shared" ref="L42:N42" si="38">F42/I42</f>
        <v>  0.33333 </v>
      </c>
      <c r="M42" s="123" t="str">
        <f t="shared" si="38"/>
        <v>  0.33333 </v>
      </c>
      <c r="N42" s="123" t="str">
        <f t="shared" si="38"/>
        <v>  0.33333 </v>
      </c>
      <c r="P42" s="120"/>
      <c r="Q42" s="121"/>
      <c r="R42" s="120"/>
      <c r="S42" s="120"/>
      <c r="T42" s="120"/>
      <c r="U42" s="120"/>
      <c r="V42" s="120"/>
      <c r="W42" s="120"/>
      <c r="X42" s="120"/>
      <c r="Y42" s="120"/>
      <c r="Z42" s="120"/>
      <c r="AA42" s="120"/>
    </row>
    <row r="43" ht="14.25" customHeight="1">
      <c r="B43" s="67">
        <v>39.0</v>
      </c>
      <c r="C43" s="52"/>
      <c r="D43" s="67" t="s">
        <v>176</v>
      </c>
      <c r="E43" s="71" t="s">
        <v>177</v>
      </c>
      <c r="F43" s="28">
        <v>4.0</v>
      </c>
      <c r="G43" s="28">
        <v>3.0</v>
      </c>
      <c r="H43" s="28">
        <v>3.0</v>
      </c>
      <c r="I43" s="28">
        <v>5.0</v>
      </c>
      <c r="J43" s="28">
        <v>5.0</v>
      </c>
      <c r="K43" s="28">
        <v>5.0</v>
      </c>
      <c r="L43" s="123" t="str">
        <f t="shared" ref="L43:N43" si="39">F43/I43</f>
        <v>  0.80000 </v>
      </c>
      <c r="M43" s="123" t="str">
        <f t="shared" si="39"/>
        <v>  0.60000 </v>
      </c>
      <c r="N43" s="123" t="str">
        <f t="shared" si="39"/>
        <v>  0.60000 </v>
      </c>
      <c r="P43" s="120"/>
      <c r="Q43" s="121"/>
      <c r="R43" s="120"/>
      <c r="S43" s="120"/>
      <c r="T43" s="120"/>
      <c r="U43" s="120"/>
      <c r="V43" s="120"/>
      <c r="W43" s="120"/>
      <c r="X43" s="120"/>
      <c r="Y43" s="120"/>
      <c r="Z43" s="120"/>
      <c r="AA43" s="120"/>
    </row>
    <row r="44" ht="14.25" customHeight="1">
      <c r="B44" s="67">
        <v>40.0</v>
      </c>
      <c r="C44" s="52"/>
      <c r="D44" s="67" t="s">
        <v>72</v>
      </c>
      <c r="E44" s="71" t="s">
        <v>73</v>
      </c>
      <c r="F44" s="28">
        <v>2.0</v>
      </c>
      <c r="G44" s="28">
        <v>2.0</v>
      </c>
      <c r="H44" s="28">
        <v>2.0</v>
      </c>
      <c r="I44" s="28">
        <v>3.0</v>
      </c>
      <c r="J44" s="28">
        <v>3.0</v>
      </c>
      <c r="K44" s="28">
        <v>3.0</v>
      </c>
      <c r="L44" s="123" t="str">
        <f t="shared" ref="L44:N44" si="40">F44/I44</f>
        <v>  0.66667 </v>
      </c>
      <c r="M44" s="123" t="str">
        <f t="shared" si="40"/>
        <v>  0.66667 </v>
      </c>
      <c r="N44" s="123" t="str">
        <f t="shared" si="40"/>
        <v>  0.66667 </v>
      </c>
      <c r="P44" s="120"/>
      <c r="Q44" s="121"/>
      <c r="R44" s="120"/>
      <c r="S44" s="120"/>
      <c r="T44" s="120"/>
      <c r="U44" s="120"/>
      <c r="V44" s="120"/>
      <c r="W44" s="120"/>
      <c r="X44" s="120"/>
      <c r="Y44" s="120"/>
      <c r="Z44" s="120"/>
      <c r="AA44" s="120"/>
    </row>
    <row r="45" ht="14.25" customHeight="1">
      <c r="B45" s="67">
        <v>41.0</v>
      </c>
      <c r="C45" s="52"/>
      <c r="D45" s="67" t="s">
        <v>70</v>
      </c>
      <c r="E45" s="71" t="s">
        <v>71</v>
      </c>
      <c r="F45" s="28">
        <v>2.0</v>
      </c>
      <c r="G45" s="28">
        <v>2.0</v>
      </c>
      <c r="H45" s="28">
        <v>2.0</v>
      </c>
      <c r="I45" s="28">
        <v>6.0</v>
      </c>
      <c r="J45" s="28">
        <v>6.0</v>
      </c>
      <c r="K45" s="28">
        <v>6.0</v>
      </c>
      <c r="L45" s="123" t="str">
        <f t="shared" ref="L45:N45" si="41">F45/I45</f>
        <v>  0.33333 </v>
      </c>
      <c r="M45" s="123" t="str">
        <f t="shared" si="41"/>
        <v>  0.33333 </v>
      </c>
      <c r="N45" s="123" t="str">
        <f t="shared" si="41"/>
        <v>  0.33333 </v>
      </c>
      <c r="P45" s="120"/>
      <c r="Q45" s="121"/>
      <c r="R45" s="120"/>
      <c r="S45" s="120"/>
      <c r="T45" s="120"/>
      <c r="U45" s="120"/>
      <c r="V45" s="120"/>
      <c r="W45" s="120"/>
      <c r="X45" s="120"/>
      <c r="Y45" s="124"/>
      <c r="Z45" s="124"/>
      <c r="AA45" s="124"/>
    </row>
    <row r="46" ht="14.25" customHeight="1">
      <c r="B46" s="67">
        <v>42.0</v>
      </c>
      <c r="C46" s="52"/>
      <c r="D46" s="67" t="s">
        <v>202</v>
      </c>
      <c r="E46" s="71" t="s">
        <v>203</v>
      </c>
      <c r="F46" s="28">
        <v>1.0</v>
      </c>
      <c r="G46" s="28">
        <v>1.0</v>
      </c>
      <c r="H46" s="28">
        <v>1.0</v>
      </c>
      <c r="I46" s="28">
        <v>3.0</v>
      </c>
      <c r="J46" s="28">
        <v>3.0</v>
      </c>
      <c r="K46" s="28">
        <v>3.0</v>
      </c>
      <c r="L46" s="123" t="str">
        <f t="shared" ref="L46:N46" si="42">F46/I46</f>
        <v>  0.33333 </v>
      </c>
      <c r="M46" s="123" t="str">
        <f t="shared" si="42"/>
        <v>  0.33333 </v>
      </c>
      <c r="N46" s="123" t="str">
        <f t="shared" si="42"/>
        <v>  0.33333 </v>
      </c>
      <c r="P46" s="120"/>
      <c r="Q46" s="121"/>
      <c r="R46" s="120"/>
      <c r="S46" s="120"/>
      <c r="T46" s="120"/>
      <c r="U46" s="120"/>
      <c r="V46" s="120"/>
      <c r="W46" s="120"/>
      <c r="X46" s="120"/>
      <c r="Y46" s="120"/>
      <c r="Z46" s="120"/>
      <c r="AA46" s="120"/>
    </row>
    <row r="47" ht="14.25" customHeight="1">
      <c r="B47" s="67">
        <v>43.0</v>
      </c>
      <c r="C47" s="52"/>
      <c r="D47" s="67" t="s">
        <v>206</v>
      </c>
      <c r="E47" s="71" t="s">
        <v>207</v>
      </c>
      <c r="F47" s="28">
        <v>3.0</v>
      </c>
      <c r="G47" s="28">
        <v>3.0</v>
      </c>
      <c r="H47" s="28">
        <v>3.0</v>
      </c>
      <c r="I47" s="28">
        <v>7.0</v>
      </c>
      <c r="J47" s="28">
        <v>7.0</v>
      </c>
      <c r="K47" s="28">
        <v>7.0</v>
      </c>
      <c r="L47" s="123" t="str">
        <f t="shared" ref="L47:N47" si="43">F47/I47</f>
        <v>  0.42857 </v>
      </c>
      <c r="M47" s="123" t="str">
        <f t="shared" si="43"/>
        <v>  0.42857 </v>
      </c>
      <c r="N47" s="123" t="str">
        <f t="shared" si="43"/>
        <v>  0.42857 </v>
      </c>
      <c r="P47" s="120"/>
      <c r="Q47" s="121"/>
      <c r="R47" s="120"/>
      <c r="S47" s="120"/>
      <c r="T47" s="120"/>
      <c r="U47" s="120"/>
      <c r="V47" s="120"/>
      <c r="W47" s="120"/>
      <c r="X47" s="120"/>
      <c r="Y47" s="120"/>
      <c r="Z47" s="120"/>
      <c r="AA47" s="120"/>
    </row>
    <row r="48" ht="14.25" customHeight="1">
      <c r="B48" s="67">
        <v>44.0</v>
      </c>
      <c r="C48" s="52"/>
      <c r="D48" s="67" t="s">
        <v>76</v>
      </c>
      <c r="E48" s="71" t="s">
        <v>77</v>
      </c>
      <c r="F48" s="28">
        <v>1.0</v>
      </c>
      <c r="G48" s="28">
        <v>1.0</v>
      </c>
      <c r="H48" s="28">
        <v>1.0</v>
      </c>
      <c r="I48" s="28">
        <v>3.0</v>
      </c>
      <c r="J48" s="28">
        <v>3.0</v>
      </c>
      <c r="K48" s="28">
        <v>3.0</v>
      </c>
      <c r="L48" s="123" t="str">
        <f t="shared" ref="L48:N48" si="44">F48/I48</f>
        <v>  0.33333 </v>
      </c>
      <c r="M48" s="123" t="str">
        <f t="shared" si="44"/>
        <v>  0.33333 </v>
      </c>
      <c r="N48" s="123" t="str">
        <f t="shared" si="44"/>
        <v>  0.33333 </v>
      </c>
      <c r="P48" s="120"/>
      <c r="Q48" s="121"/>
      <c r="R48" s="120"/>
      <c r="S48" s="120"/>
      <c r="T48" s="120"/>
      <c r="U48" s="120"/>
      <c r="V48" s="120"/>
      <c r="W48" s="120"/>
      <c r="X48" s="120"/>
      <c r="Y48" s="120"/>
      <c r="Z48" s="120"/>
      <c r="AA48" s="120"/>
    </row>
    <row r="49" ht="14.25" customHeight="1">
      <c r="B49" s="67">
        <v>45.0</v>
      </c>
      <c r="C49" s="52"/>
      <c r="D49" s="67" t="s">
        <v>204</v>
      </c>
      <c r="E49" s="71" t="s">
        <v>205</v>
      </c>
      <c r="F49" s="28">
        <v>1.0</v>
      </c>
      <c r="G49" s="28">
        <v>1.0</v>
      </c>
      <c r="H49" s="28">
        <v>1.0</v>
      </c>
      <c r="I49" s="28">
        <v>2.0</v>
      </c>
      <c r="J49" s="28">
        <v>2.0</v>
      </c>
      <c r="K49" s="28">
        <v>2.0</v>
      </c>
      <c r="L49" s="123" t="str">
        <f t="shared" ref="L49:N49" si="45">F49/I49</f>
        <v>  0.50000 </v>
      </c>
      <c r="M49" s="123" t="str">
        <f t="shared" si="45"/>
        <v>  0.50000 </v>
      </c>
      <c r="N49" s="123" t="str">
        <f t="shared" si="45"/>
        <v>  0.50000 </v>
      </c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</row>
    <row r="50" ht="14.25" customHeight="1">
      <c r="B50" s="67">
        <v>46.0</v>
      </c>
      <c r="C50" s="52"/>
      <c r="D50" s="67" t="s">
        <v>82</v>
      </c>
      <c r="E50" s="71" t="s">
        <v>83</v>
      </c>
      <c r="F50" s="122">
        <v>3.0</v>
      </c>
      <c r="G50" s="122">
        <v>3.0</v>
      </c>
      <c r="H50" s="122">
        <v>3.0</v>
      </c>
      <c r="I50" s="122">
        <v>8.0</v>
      </c>
      <c r="J50" s="122">
        <v>8.0</v>
      </c>
      <c r="K50" s="122">
        <v>7.0</v>
      </c>
      <c r="L50" s="123" t="str">
        <f t="shared" ref="L50:N50" si="46">F50/I50</f>
        <v>  0.37500 </v>
      </c>
      <c r="M50" s="123" t="str">
        <f t="shared" si="46"/>
        <v>  0.37500 </v>
      </c>
      <c r="N50" s="123" t="str">
        <f t="shared" si="46"/>
        <v>  0.42857 </v>
      </c>
      <c r="P50" s="120"/>
      <c r="Q50" s="121"/>
      <c r="R50" s="120"/>
      <c r="S50" s="120"/>
      <c r="T50" s="120"/>
      <c r="U50" s="120"/>
      <c r="V50" s="120"/>
      <c r="W50" s="120"/>
      <c r="X50" s="120"/>
      <c r="Y50" s="124"/>
      <c r="Z50" s="124"/>
      <c r="AA50" s="120"/>
    </row>
    <row r="51" ht="14.25" customHeight="1">
      <c r="B51" s="67">
        <v>47.0</v>
      </c>
      <c r="C51" s="52"/>
      <c r="D51" s="67" t="s">
        <v>84</v>
      </c>
      <c r="E51" s="71" t="s">
        <v>85</v>
      </c>
      <c r="F51" s="28">
        <v>1.0</v>
      </c>
      <c r="G51" s="28">
        <v>1.0</v>
      </c>
      <c r="H51" s="28">
        <v>1.0</v>
      </c>
      <c r="I51" s="28">
        <v>3.0</v>
      </c>
      <c r="J51" s="28">
        <v>3.0</v>
      </c>
      <c r="K51" s="28">
        <v>3.0</v>
      </c>
      <c r="L51" s="123" t="str">
        <f t="shared" ref="L51:N51" si="47">F51/I51</f>
        <v>  0.33333 </v>
      </c>
      <c r="M51" s="123" t="str">
        <f t="shared" si="47"/>
        <v>  0.33333 </v>
      </c>
      <c r="N51" s="123" t="str">
        <f t="shared" si="47"/>
        <v>  0.33333 </v>
      </c>
      <c r="P51" s="120"/>
      <c r="Q51" s="121"/>
      <c r="R51" s="120"/>
      <c r="S51" s="120"/>
      <c r="T51" s="120"/>
      <c r="U51" s="120"/>
      <c r="V51" s="120"/>
      <c r="W51" s="120"/>
      <c r="X51" s="120"/>
      <c r="Y51" s="120"/>
      <c r="Z51" s="120"/>
      <c r="AA51" s="120"/>
    </row>
    <row r="52" ht="14.25" customHeight="1">
      <c r="B52" s="67">
        <v>48.0</v>
      </c>
      <c r="C52" s="52"/>
      <c r="D52" s="67" t="s">
        <v>212</v>
      </c>
      <c r="E52" s="71" t="s">
        <v>213</v>
      </c>
      <c r="F52" s="28">
        <v>2.0</v>
      </c>
      <c r="G52" s="28">
        <v>2.0</v>
      </c>
      <c r="H52" s="28">
        <v>2.0</v>
      </c>
      <c r="I52" s="28">
        <v>5.0</v>
      </c>
      <c r="J52" s="28">
        <v>5.0</v>
      </c>
      <c r="K52" s="28">
        <v>5.0</v>
      </c>
      <c r="L52" s="123" t="str">
        <f t="shared" ref="L52:N52" si="48">F52/I52</f>
        <v>  0.40000 </v>
      </c>
      <c r="M52" s="123" t="str">
        <f t="shared" si="48"/>
        <v>  0.40000 </v>
      </c>
      <c r="N52" s="123" t="str">
        <f t="shared" si="48"/>
        <v>  0.40000 </v>
      </c>
      <c r="P52" s="120"/>
      <c r="Q52" s="121"/>
      <c r="R52" s="120"/>
      <c r="S52" s="120"/>
      <c r="T52" s="120"/>
      <c r="U52" s="120"/>
      <c r="V52" s="120"/>
      <c r="W52" s="120"/>
      <c r="X52" s="120"/>
      <c r="Y52" s="120"/>
      <c r="Z52" s="120"/>
      <c r="AA52" s="120"/>
    </row>
    <row r="53" ht="14.25" customHeight="1">
      <c r="B53" s="67">
        <v>49.0</v>
      </c>
      <c r="C53" s="52"/>
      <c r="D53" s="67" t="s">
        <v>88</v>
      </c>
      <c r="E53" s="71" t="s">
        <v>89</v>
      </c>
      <c r="F53" s="122">
        <v>2.0</v>
      </c>
      <c r="G53" s="122">
        <v>2.0</v>
      </c>
      <c r="H53" s="122">
        <v>2.0</v>
      </c>
      <c r="I53" s="122">
        <v>5.0</v>
      </c>
      <c r="J53" s="122">
        <v>5.0</v>
      </c>
      <c r="K53" s="122">
        <v>5.0</v>
      </c>
      <c r="L53" s="123" t="str">
        <f t="shared" ref="L53:N53" si="49">F53/I53</f>
        <v>  0.40000 </v>
      </c>
      <c r="M53" s="123" t="str">
        <f t="shared" si="49"/>
        <v>  0.40000 </v>
      </c>
      <c r="N53" s="123" t="str">
        <f t="shared" si="49"/>
        <v>  0.40000 </v>
      </c>
      <c r="P53" s="120"/>
      <c r="Q53" s="121"/>
      <c r="R53" s="120"/>
      <c r="S53" s="120"/>
      <c r="T53" s="120"/>
      <c r="U53" s="120"/>
      <c r="V53" s="120"/>
      <c r="W53" s="120"/>
      <c r="X53" s="120"/>
      <c r="Y53" s="120"/>
      <c r="Z53" s="120"/>
      <c r="AA53" s="120"/>
    </row>
    <row r="54" ht="14.25" customHeight="1">
      <c r="B54" s="67">
        <v>50.0</v>
      </c>
      <c r="C54" s="52"/>
      <c r="D54" s="67" t="s">
        <v>86</v>
      </c>
      <c r="E54" s="71" t="s">
        <v>87</v>
      </c>
      <c r="F54" s="28">
        <v>1.0</v>
      </c>
      <c r="G54" s="28">
        <v>1.0</v>
      </c>
      <c r="H54" s="28">
        <v>2.0</v>
      </c>
      <c r="I54" s="28">
        <v>3.0</v>
      </c>
      <c r="J54" s="28">
        <v>3.0</v>
      </c>
      <c r="K54" s="28">
        <v>4.0</v>
      </c>
      <c r="L54" s="123" t="str">
        <f t="shared" ref="L54:N54" si="50">F54/I54</f>
        <v>  0.33333 </v>
      </c>
      <c r="M54" s="123" t="str">
        <f t="shared" si="50"/>
        <v>  0.33333 </v>
      </c>
      <c r="N54" s="123" t="str">
        <f t="shared" si="50"/>
        <v>  0.50000 </v>
      </c>
      <c r="P54" s="120"/>
      <c r="Q54" s="121"/>
      <c r="R54" s="120"/>
      <c r="S54" s="120"/>
      <c r="T54" s="120"/>
      <c r="U54" s="120"/>
      <c r="V54" s="120"/>
      <c r="W54" s="120"/>
      <c r="X54" s="120"/>
      <c r="Y54" s="120"/>
      <c r="Z54" s="120"/>
      <c r="AA54" s="120"/>
    </row>
    <row r="55" ht="14.25" customHeight="1">
      <c r="B55" s="67">
        <v>51.0</v>
      </c>
      <c r="C55" s="52"/>
      <c r="D55" s="67" t="s">
        <v>226</v>
      </c>
      <c r="E55" s="71" t="s">
        <v>227</v>
      </c>
      <c r="F55" s="28">
        <v>1.0</v>
      </c>
      <c r="G55" s="28">
        <v>1.0</v>
      </c>
      <c r="H55" s="28">
        <v>1.0</v>
      </c>
      <c r="I55" s="28">
        <v>3.0</v>
      </c>
      <c r="J55" s="28">
        <v>3.0</v>
      </c>
      <c r="K55" s="28">
        <v>3.0</v>
      </c>
      <c r="L55" s="123" t="str">
        <f t="shared" ref="L55:N55" si="51">F55/I55</f>
        <v>  0.33333 </v>
      </c>
      <c r="M55" s="123" t="str">
        <f t="shared" si="51"/>
        <v>  0.33333 </v>
      </c>
      <c r="N55" s="123" t="str">
        <f t="shared" si="51"/>
        <v>  0.33333 </v>
      </c>
      <c r="P55" s="120"/>
      <c r="Q55" s="121"/>
      <c r="R55" s="120"/>
      <c r="S55" s="120"/>
      <c r="T55" s="120"/>
      <c r="U55" s="120"/>
      <c r="V55" s="120"/>
      <c r="W55" s="120"/>
      <c r="X55" s="120"/>
      <c r="Y55" s="120"/>
      <c r="Z55" s="120"/>
      <c r="AA55" s="120"/>
    </row>
    <row r="56" ht="14.25" customHeight="1">
      <c r="B56" s="67">
        <v>52.0</v>
      </c>
      <c r="C56" s="52"/>
      <c r="D56" s="67" t="s">
        <v>90</v>
      </c>
      <c r="E56" s="71" t="s">
        <v>91</v>
      </c>
      <c r="F56" s="28">
        <v>5.0</v>
      </c>
      <c r="G56" s="28">
        <v>5.0</v>
      </c>
      <c r="H56" s="28">
        <v>5.0</v>
      </c>
      <c r="I56" s="28">
        <v>6.0</v>
      </c>
      <c r="J56" s="28">
        <v>6.0</v>
      </c>
      <c r="K56" s="28">
        <v>6.0</v>
      </c>
      <c r="L56" s="123" t="str">
        <f t="shared" ref="L56:N56" si="52">F56/I56</f>
        <v>  0.83333 </v>
      </c>
      <c r="M56" s="123" t="str">
        <f t="shared" si="52"/>
        <v>  0.83333 </v>
      </c>
      <c r="N56" s="123" t="str">
        <f t="shared" si="52"/>
        <v>  0.83333 </v>
      </c>
      <c r="P56" s="120"/>
      <c r="Q56" s="121"/>
      <c r="R56" s="120"/>
      <c r="S56" s="120"/>
      <c r="T56" s="120"/>
      <c r="U56" s="120"/>
      <c r="V56" s="120"/>
      <c r="W56" s="120"/>
      <c r="X56" s="120"/>
      <c r="Y56" s="120"/>
      <c r="Z56" s="120"/>
      <c r="AA56" s="120"/>
    </row>
    <row r="57" ht="14.25" customHeight="1">
      <c r="B57" s="67">
        <v>53.0</v>
      </c>
      <c r="C57" s="52"/>
      <c r="D57" s="67" t="s">
        <v>92</v>
      </c>
      <c r="E57" s="71" t="s">
        <v>93</v>
      </c>
      <c r="F57" s="122">
        <v>1.0</v>
      </c>
      <c r="G57" s="122">
        <v>2.0</v>
      </c>
      <c r="H57" s="122">
        <v>2.0</v>
      </c>
      <c r="I57" s="122">
        <v>3.0</v>
      </c>
      <c r="J57" s="122">
        <v>5.0</v>
      </c>
      <c r="K57" s="122">
        <v>5.0</v>
      </c>
      <c r="L57" s="123" t="str">
        <f t="shared" ref="L57:N57" si="53">F57/I57</f>
        <v>  0.33333 </v>
      </c>
      <c r="M57" s="123" t="str">
        <f t="shared" si="53"/>
        <v>  0.40000 </v>
      </c>
      <c r="N57" s="123" t="str">
        <f t="shared" si="53"/>
        <v>  0.40000 </v>
      </c>
      <c r="P57" s="120"/>
      <c r="Q57" s="121"/>
      <c r="R57" s="120"/>
      <c r="S57" s="120"/>
      <c r="T57" s="120"/>
      <c r="U57" s="120"/>
      <c r="V57" s="120"/>
      <c r="W57" s="120"/>
      <c r="X57" s="120"/>
      <c r="Y57" s="120"/>
      <c r="Z57" s="120"/>
      <c r="AA57" s="120"/>
    </row>
    <row r="58" ht="14.25" customHeight="1">
      <c r="B58" s="67">
        <v>54.0</v>
      </c>
      <c r="C58" s="46"/>
      <c r="D58" s="67" t="s">
        <v>94</v>
      </c>
      <c r="E58" s="71" t="s">
        <v>95</v>
      </c>
      <c r="F58" s="28">
        <v>2.0</v>
      </c>
      <c r="G58" s="28">
        <v>2.0</v>
      </c>
      <c r="H58" s="28">
        <v>2.0</v>
      </c>
      <c r="I58" s="28">
        <v>4.0</v>
      </c>
      <c r="J58" s="28">
        <v>4.0</v>
      </c>
      <c r="K58" s="28">
        <v>4.0</v>
      </c>
      <c r="L58" s="123" t="str">
        <f t="shared" ref="L58:N58" si="54">F58/I58</f>
        <v>  0.50000 </v>
      </c>
      <c r="M58" s="123" t="str">
        <f t="shared" si="54"/>
        <v>  0.50000 </v>
      </c>
      <c r="N58" s="123" t="str">
        <f t="shared" si="54"/>
        <v>  0.50000 </v>
      </c>
      <c r="P58" s="120"/>
      <c r="Q58" s="121"/>
      <c r="R58" s="120"/>
      <c r="S58" s="120"/>
      <c r="T58" s="120"/>
      <c r="U58" s="120"/>
      <c r="V58" s="120"/>
      <c r="W58" s="120"/>
      <c r="X58" s="120"/>
      <c r="Y58" s="120"/>
      <c r="Z58" s="120"/>
      <c r="AA58" s="120"/>
    </row>
    <row r="59" ht="14.25" customHeight="1">
      <c r="L59" s="115"/>
      <c r="M59" s="115"/>
      <c r="N59" s="115"/>
    </row>
    <row r="60" ht="14.25" customHeight="1">
      <c r="L60" s="115"/>
      <c r="M60" s="115"/>
      <c r="N60" s="115"/>
    </row>
    <row r="61" ht="14.25" customHeight="1">
      <c r="L61" s="115"/>
      <c r="M61" s="115"/>
      <c r="N61" s="115"/>
    </row>
    <row r="62" ht="14.25" customHeight="1">
      <c r="L62" s="115"/>
      <c r="M62" s="115"/>
      <c r="N62" s="115"/>
    </row>
    <row r="63" ht="14.25" customHeight="1">
      <c r="L63" s="115"/>
      <c r="M63" s="115"/>
      <c r="N63" s="115"/>
    </row>
    <row r="64" ht="14.25" customHeight="1">
      <c r="L64" s="115"/>
      <c r="M64" s="115"/>
      <c r="N64" s="115"/>
    </row>
    <row r="65" ht="14.25" customHeight="1">
      <c r="L65" s="115"/>
      <c r="M65" s="115"/>
      <c r="N65" s="115"/>
    </row>
    <row r="66" ht="14.25" customHeight="1">
      <c r="L66" s="115"/>
      <c r="M66" s="115"/>
      <c r="N66" s="115"/>
    </row>
    <row r="67" ht="14.25" customHeight="1">
      <c r="L67" s="115"/>
      <c r="M67" s="115"/>
      <c r="N67" s="115"/>
    </row>
    <row r="68" ht="14.25" customHeight="1">
      <c r="L68" s="115"/>
      <c r="M68" s="115"/>
      <c r="N68" s="115"/>
    </row>
    <row r="69" ht="14.25" customHeight="1">
      <c r="L69" s="115"/>
      <c r="M69" s="115"/>
      <c r="N69" s="115"/>
    </row>
    <row r="70" ht="14.25" customHeight="1">
      <c r="L70" s="115"/>
      <c r="M70" s="115"/>
      <c r="N70" s="115"/>
    </row>
    <row r="71" ht="14.25" customHeight="1">
      <c r="L71" s="115"/>
      <c r="M71" s="115"/>
      <c r="N71" s="115"/>
    </row>
    <row r="72" ht="14.25" customHeight="1">
      <c r="L72" s="115"/>
      <c r="M72" s="115"/>
      <c r="N72" s="115"/>
    </row>
    <row r="73" ht="14.25" customHeight="1">
      <c r="L73" s="115"/>
      <c r="M73" s="115"/>
      <c r="N73" s="115"/>
    </row>
    <row r="74" ht="14.25" customHeight="1">
      <c r="L74" s="115"/>
      <c r="M74" s="115"/>
      <c r="N74" s="115"/>
    </row>
    <row r="75" ht="14.25" customHeight="1">
      <c r="L75" s="115"/>
      <c r="M75" s="115"/>
      <c r="N75" s="115"/>
    </row>
    <row r="76" ht="14.25" customHeight="1">
      <c r="L76" s="115"/>
      <c r="M76" s="115"/>
      <c r="N76" s="115"/>
    </row>
    <row r="77" ht="14.25" customHeight="1">
      <c r="L77" s="115"/>
      <c r="M77" s="115"/>
      <c r="N77" s="115"/>
    </row>
    <row r="78" ht="14.25" customHeight="1">
      <c r="L78" s="115"/>
      <c r="M78" s="115"/>
      <c r="N78" s="115"/>
    </row>
    <row r="79" ht="14.25" customHeight="1">
      <c r="L79" s="115"/>
      <c r="M79" s="115"/>
      <c r="N79" s="115"/>
    </row>
    <row r="80" ht="14.25" customHeight="1">
      <c r="L80" s="115"/>
      <c r="M80" s="115"/>
      <c r="N80" s="115"/>
    </row>
    <row r="81" ht="14.25" customHeight="1">
      <c r="L81" s="115"/>
      <c r="M81" s="115"/>
      <c r="N81" s="115"/>
    </row>
    <row r="82" ht="14.25" customHeight="1">
      <c r="L82" s="115"/>
      <c r="M82" s="115"/>
      <c r="N82" s="115"/>
    </row>
    <row r="83" ht="14.25" customHeight="1">
      <c r="L83" s="115"/>
      <c r="M83" s="115"/>
      <c r="N83" s="115"/>
    </row>
    <row r="84" ht="14.25" customHeight="1">
      <c r="L84" s="115"/>
      <c r="M84" s="115"/>
      <c r="N84" s="115"/>
    </row>
    <row r="85" ht="14.25" customHeight="1">
      <c r="L85" s="115"/>
      <c r="M85" s="115"/>
      <c r="N85" s="115"/>
    </row>
    <row r="86" ht="14.25" customHeight="1">
      <c r="L86" s="115"/>
      <c r="M86" s="115"/>
      <c r="N86" s="115"/>
    </row>
    <row r="87" ht="14.25" customHeight="1">
      <c r="L87" s="115"/>
      <c r="M87" s="115"/>
      <c r="N87" s="115"/>
    </row>
    <row r="88" ht="14.25" customHeight="1">
      <c r="L88" s="115"/>
      <c r="M88" s="115"/>
      <c r="N88" s="115"/>
    </row>
    <row r="89" ht="14.25" customHeight="1">
      <c r="L89" s="115"/>
      <c r="M89" s="115"/>
      <c r="N89" s="115"/>
    </row>
    <row r="90" ht="14.25" customHeight="1">
      <c r="L90" s="115"/>
      <c r="M90" s="115"/>
      <c r="N90" s="115"/>
    </row>
    <row r="91" ht="14.25" customHeight="1">
      <c r="L91" s="115"/>
      <c r="M91" s="115"/>
      <c r="N91" s="115"/>
    </row>
    <row r="92" ht="14.25" customHeight="1">
      <c r="L92" s="115"/>
      <c r="M92" s="115"/>
      <c r="N92" s="115"/>
    </row>
    <row r="93" ht="14.25" customHeight="1">
      <c r="L93" s="115"/>
      <c r="M93" s="115"/>
      <c r="N93" s="115"/>
    </row>
    <row r="94" ht="14.25" customHeight="1">
      <c r="L94" s="115"/>
      <c r="M94" s="115"/>
      <c r="N94" s="115"/>
    </row>
    <row r="95" ht="14.25" customHeight="1">
      <c r="L95" s="115"/>
      <c r="M95" s="115"/>
      <c r="N95" s="115"/>
    </row>
    <row r="96" ht="14.25" customHeight="1">
      <c r="L96" s="115"/>
      <c r="M96" s="115"/>
      <c r="N96" s="115"/>
    </row>
    <row r="97" ht="14.25" customHeight="1">
      <c r="L97" s="115"/>
      <c r="M97" s="115"/>
      <c r="N97" s="115"/>
    </row>
    <row r="98" ht="14.25" customHeight="1">
      <c r="L98" s="115"/>
      <c r="M98" s="115"/>
      <c r="N98" s="115"/>
    </row>
    <row r="99" ht="14.25" customHeight="1">
      <c r="L99" s="115"/>
      <c r="M99" s="115"/>
      <c r="N99" s="115"/>
    </row>
    <row r="100" ht="14.25" customHeight="1">
      <c r="L100" s="115"/>
      <c r="M100" s="115"/>
      <c r="N100" s="115"/>
    </row>
    <row r="101" ht="14.25" customHeight="1">
      <c r="L101" s="115"/>
      <c r="M101" s="115"/>
      <c r="N101" s="115"/>
    </row>
    <row r="102" ht="14.25" customHeight="1">
      <c r="L102" s="115"/>
      <c r="M102" s="115"/>
      <c r="N102" s="115"/>
    </row>
    <row r="103" ht="14.25" customHeight="1">
      <c r="L103" s="115"/>
      <c r="M103" s="115"/>
      <c r="N103" s="115"/>
    </row>
    <row r="104" ht="14.25" customHeight="1">
      <c r="L104" s="115"/>
      <c r="M104" s="115"/>
      <c r="N104" s="115"/>
    </row>
    <row r="105" ht="14.25" customHeight="1">
      <c r="L105" s="115"/>
      <c r="M105" s="115"/>
      <c r="N105" s="115"/>
    </row>
    <row r="106" ht="14.25" customHeight="1">
      <c r="L106" s="115"/>
      <c r="M106" s="115"/>
      <c r="N106" s="115"/>
    </row>
    <row r="107" ht="14.25" customHeight="1">
      <c r="L107" s="115"/>
      <c r="M107" s="115"/>
      <c r="N107" s="115"/>
    </row>
    <row r="108" ht="14.25" customHeight="1">
      <c r="L108" s="115"/>
      <c r="M108" s="115"/>
      <c r="N108" s="115"/>
    </row>
    <row r="109" ht="14.25" customHeight="1">
      <c r="L109" s="115"/>
      <c r="M109" s="115"/>
      <c r="N109" s="115"/>
    </row>
    <row r="110" ht="14.25" customHeight="1">
      <c r="L110" s="115"/>
      <c r="M110" s="115"/>
      <c r="N110" s="115"/>
    </row>
    <row r="111" ht="14.25" customHeight="1">
      <c r="L111" s="115"/>
      <c r="M111" s="115"/>
      <c r="N111" s="115"/>
    </row>
    <row r="112" ht="14.25" customHeight="1">
      <c r="L112" s="115"/>
      <c r="M112" s="115"/>
      <c r="N112" s="115"/>
    </row>
    <row r="113" ht="14.25" customHeight="1">
      <c r="L113" s="115"/>
      <c r="M113" s="115"/>
      <c r="N113" s="115"/>
    </row>
    <row r="114" ht="14.25" customHeight="1">
      <c r="L114" s="115"/>
      <c r="M114" s="115"/>
      <c r="N114" s="115"/>
    </row>
    <row r="115" ht="14.25" customHeight="1">
      <c r="L115" s="115"/>
      <c r="M115" s="115"/>
      <c r="N115" s="115"/>
    </row>
    <row r="116" ht="14.25" customHeight="1">
      <c r="L116" s="115"/>
      <c r="M116" s="115"/>
      <c r="N116" s="115"/>
    </row>
    <row r="117" ht="14.25" customHeight="1">
      <c r="L117" s="115"/>
      <c r="M117" s="115"/>
      <c r="N117" s="115"/>
    </row>
    <row r="118" ht="14.25" customHeight="1">
      <c r="L118" s="115"/>
      <c r="M118" s="115"/>
      <c r="N118" s="115"/>
    </row>
    <row r="119" ht="14.25" customHeight="1">
      <c r="L119" s="115"/>
      <c r="M119" s="115"/>
      <c r="N119" s="115"/>
    </row>
    <row r="120" ht="14.25" customHeight="1">
      <c r="L120" s="115"/>
      <c r="M120" s="115"/>
      <c r="N120" s="115"/>
    </row>
    <row r="121" ht="14.25" customHeight="1">
      <c r="L121" s="115"/>
      <c r="M121" s="115"/>
      <c r="N121" s="115"/>
    </row>
    <row r="122" ht="14.25" customHeight="1">
      <c r="L122" s="115"/>
      <c r="M122" s="115"/>
      <c r="N122" s="115"/>
    </row>
    <row r="123" ht="14.25" customHeight="1">
      <c r="L123" s="115"/>
      <c r="M123" s="115"/>
      <c r="N123" s="115"/>
    </row>
    <row r="124" ht="14.25" customHeight="1">
      <c r="L124" s="115"/>
      <c r="M124" s="115"/>
      <c r="N124" s="115"/>
    </row>
    <row r="125" ht="14.25" customHeight="1">
      <c r="L125" s="115"/>
      <c r="M125" s="115"/>
      <c r="N125" s="115"/>
    </row>
    <row r="126" ht="14.25" customHeight="1">
      <c r="L126" s="115"/>
      <c r="M126" s="115"/>
      <c r="N126" s="115"/>
    </row>
    <row r="127" ht="14.25" customHeight="1">
      <c r="L127" s="115"/>
      <c r="M127" s="115"/>
      <c r="N127" s="115"/>
    </row>
    <row r="128" ht="14.25" customHeight="1">
      <c r="L128" s="115"/>
      <c r="M128" s="115"/>
      <c r="N128" s="115"/>
    </row>
    <row r="129" ht="14.25" customHeight="1">
      <c r="L129" s="115"/>
      <c r="M129" s="115"/>
      <c r="N129" s="115"/>
    </row>
    <row r="130" ht="14.25" customHeight="1">
      <c r="L130" s="115"/>
      <c r="M130" s="115"/>
      <c r="N130" s="115"/>
    </row>
    <row r="131" ht="14.25" customHeight="1">
      <c r="L131" s="115"/>
      <c r="M131" s="115"/>
      <c r="N131" s="115"/>
    </row>
    <row r="132" ht="14.25" customHeight="1">
      <c r="L132" s="115"/>
      <c r="M132" s="115"/>
      <c r="N132" s="115"/>
    </row>
    <row r="133" ht="14.25" customHeight="1">
      <c r="L133" s="115"/>
      <c r="M133" s="115"/>
      <c r="N133" s="115"/>
    </row>
    <row r="134" ht="14.25" customHeight="1">
      <c r="L134" s="115"/>
      <c r="M134" s="115"/>
      <c r="N134" s="115"/>
    </row>
    <row r="135" ht="14.25" customHeight="1">
      <c r="L135" s="115"/>
      <c r="M135" s="115"/>
      <c r="N135" s="115"/>
    </row>
    <row r="136" ht="14.25" customHeight="1">
      <c r="L136" s="115"/>
      <c r="M136" s="115"/>
      <c r="N136" s="115"/>
    </row>
    <row r="137" ht="14.25" customHeight="1">
      <c r="L137" s="115"/>
      <c r="M137" s="115"/>
      <c r="N137" s="115"/>
    </row>
    <row r="138" ht="14.25" customHeight="1">
      <c r="L138" s="115"/>
      <c r="M138" s="115"/>
      <c r="N138" s="115"/>
    </row>
    <row r="139" ht="14.25" customHeight="1">
      <c r="L139" s="115"/>
      <c r="M139" s="115"/>
      <c r="N139" s="115"/>
    </row>
    <row r="140" ht="14.25" customHeight="1">
      <c r="L140" s="115"/>
      <c r="M140" s="115"/>
      <c r="N140" s="115"/>
    </row>
    <row r="141" ht="14.25" customHeight="1">
      <c r="L141" s="115"/>
      <c r="M141" s="115"/>
      <c r="N141" s="115"/>
    </row>
    <row r="142" ht="14.25" customHeight="1">
      <c r="L142" s="115"/>
      <c r="M142" s="115"/>
      <c r="N142" s="115"/>
    </row>
    <row r="143" ht="14.25" customHeight="1">
      <c r="L143" s="115"/>
      <c r="M143" s="115"/>
      <c r="N143" s="115"/>
    </row>
    <row r="144" ht="14.25" customHeight="1">
      <c r="L144" s="115"/>
      <c r="M144" s="115"/>
      <c r="N144" s="115"/>
    </row>
    <row r="145" ht="14.25" customHeight="1">
      <c r="L145" s="115"/>
      <c r="M145" s="115"/>
      <c r="N145" s="115"/>
    </row>
    <row r="146" ht="14.25" customHeight="1">
      <c r="L146" s="115"/>
      <c r="M146" s="115"/>
      <c r="N146" s="115"/>
    </row>
    <row r="147" ht="14.25" customHeight="1">
      <c r="L147" s="115"/>
      <c r="M147" s="115"/>
      <c r="N147" s="115"/>
    </row>
    <row r="148" ht="14.25" customHeight="1">
      <c r="L148" s="115"/>
      <c r="M148" s="115"/>
      <c r="N148" s="115"/>
    </row>
    <row r="149" ht="14.25" customHeight="1">
      <c r="L149" s="115"/>
      <c r="M149" s="115"/>
      <c r="N149" s="115"/>
    </row>
    <row r="150" ht="14.25" customHeight="1">
      <c r="L150" s="115"/>
      <c r="M150" s="115"/>
      <c r="N150" s="115"/>
    </row>
    <row r="151" ht="14.25" customHeight="1">
      <c r="L151" s="115"/>
      <c r="M151" s="115"/>
      <c r="N151" s="115"/>
    </row>
    <row r="152" ht="14.25" customHeight="1">
      <c r="L152" s="115"/>
      <c r="M152" s="115"/>
      <c r="N152" s="115"/>
    </row>
    <row r="153" ht="14.25" customHeight="1">
      <c r="L153" s="115"/>
      <c r="M153" s="115"/>
      <c r="N153" s="115"/>
    </row>
    <row r="154" ht="14.25" customHeight="1">
      <c r="L154" s="115"/>
      <c r="M154" s="115"/>
      <c r="N154" s="115"/>
    </row>
    <row r="155" ht="14.25" customHeight="1">
      <c r="L155" s="115"/>
      <c r="M155" s="115"/>
      <c r="N155" s="115"/>
    </row>
    <row r="156" ht="14.25" customHeight="1">
      <c r="L156" s="115"/>
      <c r="M156" s="115"/>
      <c r="N156" s="115"/>
    </row>
    <row r="157" ht="14.25" customHeight="1">
      <c r="L157" s="115"/>
      <c r="M157" s="115"/>
      <c r="N157" s="115"/>
    </row>
    <row r="158" ht="14.25" customHeight="1">
      <c r="L158" s="115"/>
      <c r="M158" s="115"/>
      <c r="N158" s="115"/>
    </row>
    <row r="159" ht="14.25" customHeight="1">
      <c r="L159" s="115"/>
      <c r="M159" s="115"/>
      <c r="N159" s="115"/>
    </row>
    <row r="160" ht="14.25" customHeight="1">
      <c r="L160" s="115"/>
      <c r="M160" s="115"/>
      <c r="N160" s="115"/>
    </row>
    <row r="161" ht="14.25" customHeight="1">
      <c r="L161" s="115"/>
      <c r="M161" s="115"/>
      <c r="N161" s="115"/>
    </row>
    <row r="162" ht="14.25" customHeight="1">
      <c r="L162" s="115"/>
      <c r="M162" s="115"/>
      <c r="N162" s="115"/>
    </row>
    <row r="163" ht="14.25" customHeight="1">
      <c r="L163" s="115"/>
      <c r="M163" s="115"/>
      <c r="N163" s="115"/>
    </row>
    <row r="164" ht="14.25" customHeight="1">
      <c r="L164" s="115"/>
      <c r="M164" s="115"/>
      <c r="N164" s="115"/>
    </row>
    <row r="165" ht="14.25" customHeight="1">
      <c r="L165" s="115"/>
      <c r="M165" s="115"/>
      <c r="N165" s="115"/>
    </row>
    <row r="166" ht="14.25" customHeight="1">
      <c r="L166" s="115"/>
      <c r="M166" s="115"/>
      <c r="N166" s="115"/>
    </row>
    <row r="167" ht="14.25" customHeight="1">
      <c r="L167" s="115"/>
      <c r="M167" s="115"/>
      <c r="N167" s="115"/>
    </row>
    <row r="168" ht="14.25" customHeight="1">
      <c r="L168" s="115"/>
      <c r="M168" s="115"/>
      <c r="N168" s="115"/>
    </row>
    <row r="169" ht="14.25" customHeight="1">
      <c r="L169" s="115"/>
      <c r="M169" s="115"/>
      <c r="N169" s="115"/>
    </row>
    <row r="170" ht="14.25" customHeight="1">
      <c r="L170" s="115"/>
      <c r="M170" s="115"/>
      <c r="N170" s="115"/>
    </row>
    <row r="171" ht="14.25" customHeight="1">
      <c r="L171" s="115"/>
      <c r="M171" s="115"/>
      <c r="N171" s="115"/>
    </row>
    <row r="172" ht="14.25" customHeight="1">
      <c r="L172" s="115"/>
      <c r="M172" s="115"/>
      <c r="N172" s="115"/>
    </row>
    <row r="173" ht="14.25" customHeight="1">
      <c r="L173" s="115"/>
      <c r="M173" s="115"/>
      <c r="N173" s="115"/>
    </row>
    <row r="174" ht="14.25" customHeight="1">
      <c r="L174" s="115"/>
      <c r="M174" s="115"/>
      <c r="N174" s="115"/>
    </row>
    <row r="175" ht="14.25" customHeight="1">
      <c r="L175" s="115"/>
      <c r="M175" s="115"/>
      <c r="N175" s="115"/>
    </row>
    <row r="176" ht="14.25" customHeight="1">
      <c r="L176" s="115"/>
      <c r="M176" s="115"/>
      <c r="N176" s="115"/>
    </row>
    <row r="177" ht="14.25" customHeight="1">
      <c r="L177" s="115"/>
      <c r="M177" s="115"/>
      <c r="N177" s="115"/>
    </row>
    <row r="178" ht="14.25" customHeight="1">
      <c r="L178" s="115"/>
      <c r="M178" s="115"/>
      <c r="N178" s="115"/>
    </row>
    <row r="179" ht="14.25" customHeight="1">
      <c r="L179" s="115"/>
      <c r="M179" s="115"/>
      <c r="N179" s="115"/>
    </row>
    <row r="180" ht="14.25" customHeight="1">
      <c r="L180" s="115"/>
      <c r="M180" s="115"/>
      <c r="N180" s="115"/>
    </row>
    <row r="181" ht="14.25" customHeight="1">
      <c r="L181" s="115"/>
      <c r="M181" s="115"/>
      <c r="N181" s="115"/>
    </row>
    <row r="182" ht="14.25" customHeight="1">
      <c r="L182" s="115"/>
      <c r="M182" s="115"/>
      <c r="N182" s="115"/>
    </row>
    <row r="183" ht="14.25" customHeight="1">
      <c r="L183" s="115"/>
      <c r="M183" s="115"/>
      <c r="N183" s="115"/>
    </row>
    <row r="184" ht="14.25" customHeight="1">
      <c r="L184" s="115"/>
      <c r="M184" s="115"/>
      <c r="N184" s="115"/>
    </row>
    <row r="185" ht="14.25" customHeight="1">
      <c r="L185" s="115"/>
      <c r="M185" s="115"/>
      <c r="N185" s="115"/>
    </row>
    <row r="186" ht="14.25" customHeight="1">
      <c r="L186" s="115"/>
      <c r="M186" s="115"/>
      <c r="N186" s="115"/>
    </row>
    <row r="187" ht="14.25" customHeight="1">
      <c r="L187" s="115"/>
      <c r="M187" s="115"/>
      <c r="N187" s="115"/>
    </row>
    <row r="188" ht="14.25" customHeight="1">
      <c r="L188" s="115"/>
      <c r="M188" s="115"/>
      <c r="N188" s="115"/>
    </row>
    <row r="189" ht="14.25" customHeight="1">
      <c r="L189" s="115"/>
      <c r="M189" s="115"/>
      <c r="N189" s="115"/>
    </row>
    <row r="190" ht="14.25" customHeight="1">
      <c r="L190" s="115"/>
      <c r="M190" s="115"/>
      <c r="N190" s="115"/>
    </row>
    <row r="191" ht="14.25" customHeight="1">
      <c r="L191" s="115"/>
      <c r="M191" s="115"/>
      <c r="N191" s="115"/>
    </row>
    <row r="192" ht="14.25" customHeight="1">
      <c r="L192" s="115"/>
      <c r="M192" s="115"/>
      <c r="N192" s="115"/>
    </row>
    <row r="193" ht="14.25" customHeight="1">
      <c r="L193" s="115"/>
      <c r="M193" s="115"/>
      <c r="N193" s="115"/>
    </row>
    <row r="194" ht="14.25" customHeight="1">
      <c r="L194" s="115"/>
      <c r="M194" s="115"/>
      <c r="N194" s="115"/>
    </row>
    <row r="195" ht="14.25" customHeight="1">
      <c r="L195" s="115"/>
      <c r="M195" s="115"/>
      <c r="N195" s="115"/>
    </row>
    <row r="196" ht="14.25" customHeight="1">
      <c r="L196" s="115"/>
      <c r="M196" s="115"/>
      <c r="N196" s="115"/>
    </row>
    <row r="197" ht="14.25" customHeight="1">
      <c r="L197" s="115"/>
      <c r="M197" s="115"/>
      <c r="N197" s="115"/>
    </row>
    <row r="198" ht="14.25" customHeight="1">
      <c r="L198" s="115"/>
      <c r="M198" s="115"/>
      <c r="N198" s="115"/>
    </row>
    <row r="199" ht="14.25" customHeight="1">
      <c r="L199" s="115"/>
      <c r="M199" s="115"/>
      <c r="N199" s="115"/>
    </row>
    <row r="200" ht="14.25" customHeight="1">
      <c r="L200" s="115"/>
      <c r="M200" s="115"/>
      <c r="N200" s="115"/>
    </row>
    <row r="201" ht="14.25" customHeight="1">
      <c r="L201" s="115"/>
      <c r="M201" s="115"/>
      <c r="N201" s="115"/>
    </row>
    <row r="202" ht="14.25" customHeight="1">
      <c r="L202" s="115"/>
      <c r="M202" s="115"/>
      <c r="N202" s="115"/>
    </row>
    <row r="203" ht="14.25" customHeight="1">
      <c r="L203" s="115"/>
      <c r="M203" s="115"/>
      <c r="N203" s="115"/>
    </row>
    <row r="204" ht="14.25" customHeight="1">
      <c r="L204" s="115"/>
      <c r="M204" s="115"/>
      <c r="N204" s="115"/>
    </row>
    <row r="205" ht="14.25" customHeight="1">
      <c r="L205" s="115"/>
      <c r="M205" s="115"/>
      <c r="N205" s="115"/>
    </row>
    <row r="206" ht="14.25" customHeight="1">
      <c r="L206" s="115"/>
      <c r="M206" s="115"/>
      <c r="N206" s="115"/>
    </row>
    <row r="207" ht="14.25" customHeight="1">
      <c r="L207" s="115"/>
      <c r="M207" s="115"/>
      <c r="N207" s="115"/>
    </row>
    <row r="208" ht="14.25" customHeight="1">
      <c r="L208" s="115"/>
      <c r="M208" s="115"/>
      <c r="N208" s="115"/>
    </row>
    <row r="209" ht="14.25" customHeight="1">
      <c r="L209" s="115"/>
      <c r="M209" s="115"/>
      <c r="N209" s="115"/>
    </row>
    <row r="210" ht="14.25" customHeight="1">
      <c r="L210" s="115"/>
      <c r="M210" s="115"/>
      <c r="N210" s="115"/>
    </row>
    <row r="211" ht="14.25" customHeight="1">
      <c r="L211" s="115"/>
      <c r="M211" s="115"/>
      <c r="N211" s="115"/>
    </row>
    <row r="212" ht="14.25" customHeight="1">
      <c r="L212" s="115"/>
      <c r="M212" s="115"/>
      <c r="N212" s="115"/>
    </row>
    <row r="213" ht="14.25" customHeight="1">
      <c r="L213" s="115"/>
      <c r="M213" s="115"/>
      <c r="N213" s="115"/>
    </row>
    <row r="214" ht="14.25" customHeight="1">
      <c r="L214" s="115"/>
      <c r="M214" s="115"/>
      <c r="N214" s="115"/>
    </row>
    <row r="215" ht="14.25" customHeight="1">
      <c r="L215" s="115"/>
      <c r="M215" s="115"/>
      <c r="N215" s="115"/>
    </row>
    <row r="216" ht="14.25" customHeight="1">
      <c r="L216" s="115"/>
      <c r="M216" s="115"/>
      <c r="N216" s="115"/>
    </row>
    <row r="217" ht="14.25" customHeight="1">
      <c r="L217" s="115"/>
      <c r="M217" s="115"/>
      <c r="N217" s="115"/>
    </row>
    <row r="218" ht="14.25" customHeight="1">
      <c r="L218" s="115"/>
      <c r="M218" s="115"/>
      <c r="N218" s="115"/>
    </row>
    <row r="219" ht="14.25" customHeight="1">
      <c r="L219" s="115"/>
      <c r="M219" s="115"/>
      <c r="N219" s="115"/>
    </row>
    <row r="220" ht="14.25" customHeight="1">
      <c r="L220" s="115"/>
      <c r="M220" s="115"/>
      <c r="N220" s="115"/>
    </row>
    <row r="221" ht="14.25" customHeight="1">
      <c r="L221" s="115"/>
      <c r="M221" s="115"/>
      <c r="N221" s="115"/>
    </row>
    <row r="222" ht="14.25" customHeight="1">
      <c r="L222" s="115"/>
      <c r="M222" s="115"/>
      <c r="N222" s="115"/>
    </row>
    <row r="223" ht="14.25" customHeight="1">
      <c r="L223" s="115"/>
      <c r="M223" s="115"/>
      <c r="N223" s="115"/>
    </row>
    <row r="224" ht="14.25" customHeight="1">
      <c r="L224" s="115"/>
      <c r="M224" s="115"/>
      <c r="N224" s="115"/>
    </row>
    <row r="225" ht="14.25" customHeight="1">
      <c r="L225" s="115"/>
      <c r="M225" s="115"/>
      <c r="N225" s="115"/>
    </row>
    <row r="226" ht="14.25" customHeight="1">
      <c r="L226" s="115"/>
      <c r="M226" s="115"/>
      <c r="N226" s="115"/>
    </row>
    <row r="227" ht="14.25" customHeight="1">
      <c r="L227" s="115"/>
      <c r="M227" s="115"/>
      <c r="N227" s="115"/>
    </row>
    <row r="228" ht="14.25" customHeight="1">
      <c r="L228" s="115"/>
      <c r="M228" s="115"/>
      <c r="N228" s="115"/>
    </row>
    <row r="229" ht="14.25" customHeight="1">
      <c r="L229" s="115"/>
      <c r="M229" s="115"/>
      <c r="N229" s="115"/>
    </row>
    <row r="230" ht="14.25" customHeight="1">
      <c r="L230" s="115"/>
      <c r="M230" s="115"/>
      <c r="N230" s="115"/>
    </row>
    <row r="231" ht="14.25" customHeight="1">
      <c r="L231" s="115"/>
      <c r="M231" s="115"/>
      <c r="N231" s="115"/>
    </row>
    <row r="232" ht="14.25" customHeight="1">
      <c r="L232" s="115"/>
      <c r="M232" s="115"/>
      <c r="N232" s="115"/>
    </row>
    <row r="233" ht="14.25" customHeight="1">
      <c r="L233" s="115"/>
      <c r="M233" s="115"/>
      <c r="N233" s="115"/>
    </row>
    <row r="234" ht="14.25" customHeight="1">
      <c r="L234" s="115"/>
      <c r="M234" s="115"/>
      <c r="N234" s="115"/>
    </row>
    <row r="235" ht="14.25" customHeight="1">
      <c r="L235" s="115"/>
      <c r="M235" s="115"/>
      <c r="N235" s="115"/>
    </row>
    <row r="236" ht="14.25" customHeight="1">
      <c r="L236" s="115"/>
      <c r="M236" s="115"/>
      <c r="N236" s="115"/>
    </row>
    <row r="237" ht="14.25" customHeight="1">
      <c r="L237" s="115"/>
      <c r="M237" s="115"/>
      <c r="N237" s="115"/>
    </row>
    <row r="238" ht="14.25" customHeight="1">
      <c r="L238" s="115"/>
      <c r="M238" s="115"/>
      <c r="N238" s="115"/>
    </row>
    <row r="239" ht="14.25" customHeight="1">
      <c r="L239" s="115"/>
      <c r="M239" s="115"/>
      <c r="N239" s="115"/>
    </row>
    <row r="240" ht="14.25" customHeight="1">
      <c r="L240" s="115"/>
      <c r="M240" s="115"/>
      <c r="N240" s="115"/>
    </row>
    <row r="241" ht="14.25" customHeight="1">
      <c r="L241" s="115"/>
      <c r="M241" s="115"/>
      <c r="N241" s="115"/>
    </row>
    <row r="242" ht="14.25" customHeight="1">
      <c r="L242" s="115"/>
      <c r="M242" s="115"/>
      <c r="N242" s="115"/>
    </row>
    <row r="243" ht="14.25" customHeight="1">
      <c r="L243" s="115"/>
      <c r="M243" s="115"/>
      <c r="N243" s="115"/>
    </row>
    <row r="244" ht="14.25" customHeight="1">
      <c r="L244" s="115"/>
      <c r="M244" s="115"/>
      <c r="N244" s="115"/>
    </row>
    <row r="245" ht="14.25" customHeight="1">
      <c r="L245" s="115"/>
      <c r="M245" s="115"/>
      <c r="N245" s="115"/>
    </row>
    <row r="246" ht="14.25" customHeight="1">
      <c r="L246" s="115"/>
      <c r="M246" s="115"/>
      <c r="N246" s="115"/>
    </row>
    <row r="247" ht="14.25" customHeight="1">
      <c r="L247" s="115"/>
      <c r="M247" s="115"/>
      <c r="N247" s="115"/>
    </row>
    <row r="248" ht="14.25" customHeight="1">
      <c r="L248" s="115"/>
      <c r="M248" s="115"/>
      <c r="N248" s="115"/>
    </row>
    <row r="249" ht="14.25" customHeight="1">
      <c r="L249" s="115"/>
      <c r="M249" s="115"/>
      <c r="N249" s="115"/>
    </row>
    <row r="250" ht="14.25" customHeight="1">
      <c r="L250" s="115"/>
      <c r="M250" s="115"/>
      <c r="N250" s="115"/>
    </row>
    <row r="251" ht="14.25" customHeight="1">
      <c r="L251" s="115"/>
      <c r="M251" s="115"/>
      <c r="N251" s="115"/>
    </row>
    <row r="252" ht="14.25" customHeight="1">
      <c r="L252" s="115"/>
      <c r="M252" s="115"/>
      <c r="N252" s="115"/>
    </row>
    <row r="253" ht="14.25" customHeight="1">
      <c r="L253" s="115"/>
      <c r="M253" s="115"/>
      <c r="N253" s="115"/>
    </row>
    <row r="254" ht="14.25" customHeight="1">
      <c r="L254" s="115"/>
      <c r="M254" s="115"/>
      <c r="N254" s="115"/>
    </row>
    <row r="255" ht="14.25" customHeight="1">
      <c r="L255" s="115"/>
      <c r="M255" s="115"/>
      <c r="N255" s="115"/>
    </row>
    <row r="256" ht="14.25" customHeight="1">
      <c r="L256" s="115"/>
      <c r="M256" s="115"/>
      <c r="N256" s="115"/>
    </row>
    <row r="257" ht="14.25" customHeight="1">
      <c r="L257" s="115"/>
      <c r="M257" s="115"/>
      <c r="N257" s="115"/>
    </row>
    <row r="258" ht="14.25" customHeight="1">
      <c r="L258" s="115"/>
      <c r="M258" s="115"/>
      <c r="N258" s="115"/>
    </row>
  </sheetData>
  <mergeCells count="5">
    <mergeCell ref="B3:E4"/>
    <mergeCell ref="F3:H3"/>
    <mergeCell ref="I3:K3"/>
    <mergeCell ref="L3:N3"/>
    <mergeCell ref="C5:C58"/>
  </mergeCells>
  <printOptions/>
  <pageMargins bottom="0.75" footer="0.0" header="0.0" left="0.7" right="0.7" top="0.75"/>
  <pageSetup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13.14"/>
    <col customWidth="1" min="4" max="4" width="7.43"/>
    <col customWidth="1" min="5" max="5" width="37.71"/>
    <col customWidth="1" min="6" max="6" width="11.71"/>
    <col customWidth="1" min="7" max="7" width="12.14"/>
    <col customWidth="1" min="8" max="8" width="13.57"/>
    <col customWidth="1" min="9" max="11" width="8.71"/>
    <col customWidth="1" min="12" max="14" width="12.14"/>
    <col customWidth="1" min="15" max="34" width="8.71"/>
  </cols>
  <sheetData>
    <row r="1" ht="14.2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125"/>
      <c r="M1" s="125"/>
      <c r="N1" s="125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</row>
    <row r="2" ht="14.2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125"/>
      <c r="M2" s="125"/>
      <c r="N2" s="125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</row>
    <row r="3" ht="14.25" customHeight="1">
      <c r="A3" s="94"/>
      <c r="B3" s="126" t="s">
        <v>320</v>
      </c>
      <c r="C3" s="104"/>
      <c r="D3" s="104"/>
      <c r="E3" s="42"/>
      <c r="F3" s="127" t="s">
        <v>321</v>
      </c>
      <c r="G3" s="91"/>
      <c r="H3" s="40"/>
      <c r="I3" s="128" t="s">
        <v>322</v>
      </c>
      <c r="J3" s="91"/>
      <c r="K3" s="40"/>
      <c r="L3" s="129" t="s">
        <v>323</v>
      </c>
      <c r="M3" s="91"/>
      <c r="N3" s="40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</row>
    <row r="4" ht="14.25" customHeight="1">
      <c r="A4" s="94"/>
      <c r="B4" s="44"/>
      <c r="C4" s="108"/>
      <c r="D4" s="108"/>
      <c r="E4" s="45"/>
      <c r="F4" s="23">
        <v>2022.0</v>
      </c>
      <c r="G4" s="23">
        <v>2023.0</v>
      </c>
      <c r="H4" s="23">
        <v>2024.0</v>
      </c>
      <c r="I4" s="23">
        <v>2022.0</v>
      </c>
      <c r="J4" s="23">
        <v>2023.0</v>
      </c>
      <c r="K4" s="23">
        <v>2024.0</v>
      </c>
      <c r="L4" s="23">
        <v>2022.0</v>
      </c>
      <c r="M4" s="23">
        <v>2023.0</v>
      </c>
      <c r="N4" s="23">
        <v>2024.0</v>
      </c>
      <c r="O4" s="94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</row>
    <row r="5" ht="14.25" customHeight="1">
      <c r="A5" s="94"/>
      <c r="B5" s="67">
        <v>1.0</v>
      </c>
      <c r="C5" s="68" t="s">
        <v>14</v>
      </c>
      <c r="D5" s="67" t="s">
        <v>15</v>
      </c>
      <c r="E5" s="71" t="s">
        <v>16</v>
      </c>
      <c r="F5" s="28">
        <v>0.0</v>
      </c>
      <c r="G5" s="28">
        <v>0.0</v>
      </c>
      <c r="H5" s="28">
        <v>1.0</v>
      </c>
      <c r="I5" s="28">
        <v>7.0</v>
      </c>
      <c r="J5" s="28">
        <v>7.0</v>
      </c>
      <c r="K5" s="28">
        <v>7.0</v>
      </c>
      <c r="L5" s="123" t="str">
        <f t="shared" ref="L5:N5" si="1">IFERROR(F5/I5, 0)</f>
        <v>  -   </v>
      </c>
      <c r="M5" s="123" t="str">
        <f t="shared" si="1"/>
        <v>  -   </v>
      </c>
      <c r="N5" s="123" t="str">
        <f t="shared" si="1"/>
        <v>  0.14286 </v>
      </c>
      <c r="O5" s="94"/>
      <c r="P5" s="120"/>
      <c r="Q5" s="121"/>
      <c r="R5" s="120"/>
      <c r="S5" s="120"/>
      <c r="T5" s="120"/>
      <c r="U5" s="120"/>
      <c r="V5" s="120"/>
      <c r="W5" s="120"/>
      <c r="X5" s="124"/>
      <c r="Y5" s="124"/>
      <c r="Z5" s="124"/>
      <c r="AA5" s="120"/>
      <c r="AB5" s="121"/>
      <c r="AC5" s="120"/>
      <c r="AD5" s="120"/>
      <c r="AE5" s="120"/>
      <c r="AF5" s="120"/>
      <c r="AG5" s="120"/>
      <c r="AH5" s="120"/>
    </row>
    <row r="6" ht="14.25" customHeight="1">
      <c r="A6" s="94"/>
      <c r="B6" s="67">
        <v>2.0</v>
      </c>
      <c r="C6" s="52"/>
      <c r="D6" s="67" t="s">
        <v>98</v>
      </c>
      <c r="E6" s="71" t="s">
        <v>99</v>
      </c>
      <c r="F6" s="28">
        <v>0.0</v>
      </c>
      <c r="G6" s="28">
        <v>0.0</v>
      </c>
      <c r="H6" s="28">
        <v>1.0</v>
      </c>
      <c r="I6" s="28">
        <v>2.0</v>
      </c>
      <c r="J6" s="28">
        <v>2.0</v>
      </c>
      <c r="K6" s="28">
        <v>3.0</v>
      </c>
      <c r="L6" s="123" t="str">
        <f t="shared" ref="L6:N6" si="2">IFERROR(F6/I6, 0)</f>
        <v>  -   </v>
      </c>
      <c r="M6" s="123" t="str">
        <f t="shared" si="2"/>
        <v>  -   </v>
      </c>
      <c r="N6" s="123" t="str">
        <f t="shared" si="2"/>
        <v>  0.33333 </v>
      </c>
      <c r="O6" s="94"/>
      <c r="P6" s="120"/>
      <c r="Q6" s="121"/>
      <c r="R6" s="120"/>
      <c r="S6" s="120"/>
      <c r="T6" s="120"/>
      <c r="U6" s="120"/>
      <c r="V6" s="120"/>
      <c r="W6" s="120"/>
      <c r="X6" s="124"/>
      <c r="Y6" s="124"/>
      <c r="Z6" s="124"/>
      <c r="AA6" s="120"/>
      <c r="AB6" s="121"/>
      <c r="AC6" s="120"/>
      <c r="AD6" s="120"/>
      <c r="AE6" s="120"/>
      <c r="AF6" s="120"/>
      <c r="AG6" s="120"/>
      <c r="AH6" s="120"/>
    </row>
    <row r="7" ht="14.25" customHeight="1">
      <c r="A7" s="94"/>
      <c r="B7" s="67">
        <v>3.0</v>
      </c>
      <c r="C7" s="52"/>
      <c r="D7" s="67" t="s">
        <v>78</v>
      </c>
      <c r="E7" s="71" t="s">
        <v>79</v>
      </c>
      <c r="F7" s="28">
        <v>0.0</v>
      </c>
      <c r="G7" s="28">
        <v>0.0</v>
      </c>
      <c r="H7" s="28">
        <v>0.0</v>
      </c>
      <c r="I7" s="28">
        <v>6.0</v>
      </c>
      <c r="J7" s="28">
        <v>6.0</v>
      </c>
      <c r="K7" s="28">
        <v>6.0</v>
      </c>
      <c r="L7" s="123" t="str">
        <f t="shared" ref="L7:N7" si="3">IFERROR(F7/I7, 0)</f>
        <v>  -   </v>
      </c>
      <c r="M7" s="123" t="str">
        <f t="shared" si="3"/>
        <v>  -   </v>
      </c>
      <c r="N7" s="123" t="str">
        <f t="shared" si="3"/>
        <v>  -   </v>
      </c>
      <c r="O7" s="94"/>
      <c r="P7" s="120"/>
      <c r="Q7" s="121"/>
      <c r="R7" s="120"/>
      <c r="S7" s="120"/>
      <c r="T7" s="120"/>
      <c r="U7" s="120"/>
      <c r="V7" s="120"/>
      <c r="W7" s="120"/>
      <c r="X7" s="124"/>
      <c r="Y7" s="124"/>
      <c r="Z7" s="124"/>
      <c r="AA7" s="120"/>
      <c r="AB7" s="121"/>
      <c r="AC7" s="120"/>
      <c r="AD7" s="120"/>
      <c r="AE7" s="120"/>
      <c r="AF7" s="120"/>
      <c r="AG7" s="120"/>
      <c r="AH7" s="120"/>
    </row>
    <row r="8" ht="14.25" customHeight="1">
      <c r="A8" s="94"/>
      <c r="B8" s="67">
        <v>4.0</v>
      </c>
      <c r="C8" s="52"/>
      <c r="D8" s="67" t="s">
        <v>104</v>
      </c>
      <c r="E8" s="71" t="s">
        <v>105</v>
      </c>
      <c r="F8" s="28">
        <v>1.0</v>
      </c>
      <c r="G8" s="28">
        <v>1.0</v>
      </c>
      <c r="H8" s="28">
        <v>1.0</v>
      </c>
      <c r="I8" s="28">
        <v>5.0</v>
      </c>
      <c r="J8" s="28">
        <v>6.0</v>
      </c>
      <c r="K8" s="28">
        <v>6.0</v>
      </c>
      <c r="L8" s="123" t="str">
        <f t="shared" ref="L8:N8" si="4">IFERROR(F8/I8, 0)</f>
        <v>  0.20000 </v>
      </c>
      <c r="M8" s="123" t="str">
        <f t="shared" si="4"/>
        <v>  0.16667 </v>
      </c>
      <c r="N8" s="123" t="str">
        <f t="shared" si="4"/>
        <v>  0.16667 </v>
      </c>
      <c r="O8" s="94"/>
      <c r="P8" s="120"/>
      <c r="Q8" s="121"/>
      <c r="R8" s="120"/>
      <c r="S8" s="120"/>
      <c r="T8" s="120"/>
      <c r="U8" s="120"/>
      <c r="V8" s="120"/>
      <c r="W8" s="120"/>
      <c r="X8" s="124"/>
      <c r="Y8" s="124"/>
      <c r="Z8" s="124"/>
      <c r="AA8" s="120"/>
      <c r="AB8" s="121"/>
      <c r="AC8" s="120"/>
      <c r="AD8" s="120"/>
      <c r="AE8" s="120"/>
      <c r="AF8" s="120"/>
      <c r="AG8" s="120"/>
      <c r="AH8" s="120"/>
    </row>
    <row r="9" ht="14.25" customHeight="1">
      <c r="A9" s="94"/>
      <c r="B9" s="67">
        <v>5.0</v>
      </c>
      <c r="C9" s="52"/>
      <c r="D9" s="67" t="s">
        <v>18</v>
      </c>
      <c r="E9" s="71" t="s">
        <v>19</v>
      </c>
      <c r="F9" s="28">
        <v>0.0</v>
      </c>
      <c r="G9" s="28">
        <v>0.0</v>
      </c>
      <c r="H9" s="28">
        <v>0.0</v>
      </c>
      <c r="I9" s="28">
        <v>4.0</v>
      </c>
      <c r="J9" s="28">
        <v>6.0</v>
      </c>
      <c r="K9" s="28">
        <v>4.0</v>
      </c>
      <c r="L9" s="123" t="str">
        <f t="shared" ref="L9:N9" si="5">IFERROR(F9/I9, 0)</f>
        <v>  -   </v>
      </c>
      <c r="M9" s="123" t="str">
        <f t="shared" si="5"/>
        <v>  -   </v>
      </c>
      <c r="N9" s="123" t="str">
        <f t="shared" si="5"/>
        <v>  -   </v>
      </c>
      <c r="O9" s="94"/>
      <c r="P9" s="120"/>
      <c r="Q9" s="121"/>
      <c r="R9" s="120"/>
      <c r="S9" s="120"/>
      <c r="T9" s="120"/>
      <c r="U9" s="120"/>
      <c r="V9" s="120"/>
      <c r="W9" s="120"/>
      <c r="X9" s="124"/>
      <c r="Y9" s="124"/>
      <c r="Z9" s="124"/>
      <c r="AA9" s="120"/>
      <c r="AB9" s="121"/>
      <c r="AC9" s="120"/>
      <c r="AD9" s="120"/>
      <c r="AE9" s="120"/>
      <c r="AF9" s="120"/>
      <c r="AG9" s="120"/>
      <c r="AH9" s="120"/>
    </row>
    <row r="10" ht="14.25" customHeight="1">
      <c r="A10" s="94"/>
      <c r="B10" s="67">
        <v>6.0</v>
      </c>
      <c r="C10" s="52"/>
      <c r="D10" s="67" t="s">
        <v>108</v>
      </c>
      <c r="E10" s="71" t="s">
        <v>109</v>
      </c>
      <c r="F10" s="28">
        <v>0.0</v>
      </c>
      <c r="G10" s="28">
        <v>0.0</v>
      </c>
      <c r="H10" s="28">
        <v>0.0</v>
      </c>
      <c r="I10" s="28">
        <v>5.0</v>
      </c>
      <c r="J10" s="28">
        <v>5.0</v>
      </c>
      <c r="K10" s="28">
        <v>5.0</v>
      </c>
      <c r="L10" s="123" t="str">
        <f t="shared" ref="L10:N10" si="6">IFERROR(F10/I10, 0)</f>
        <v>  -   </v>
      </c>
      <c r="M10" s="123" t="str">
        <f t="shared" si="6"/>
        <v>  -   </v>
      </c>
      <c r="N10" s="123" t="str">
        <f t="shared" si="6"/>
        <v>  -   </v>
      </c>
      <c r="O10" s="94"/>
      <c r="P10" s="120"/>
      <c r="Q10" s="121"/>
      <c r="R10" s="120"/>
      <c r="S10" s="120"/>
      <c r="T10" s="120"/>
      <c r="U10" s="120"/>
      <c r="V10" s="120"/>
      <c r="W10" s="120"/>
      <c r="X10" s="124"/>
      <c r="Y10" s="124"/>
      <c r="Z10" s="124"/>
      <c r="AA10" s="120"/>
      <c r="AB10" s="121"/>
      <c r="AC10" s="120"/>
      <c r="AD10" s="120"/>
      <c r="AE10" s="120"/>
      <c r="AF10" s="120"/>
      <c r="AG10" s="120"/>
      <c r="AH10" s="120"/>
    </row>
    <row r="11" ht="14.25" customHeight="1">
      <c r="A11" s="94"/>
      <c r="B11" s="67">
        <v>7.0</v>
      </c>
      <c r="C11" s="52"/>
      <c r="D11" s="67" t="s">
        <v>222</v>
      </c>
      <c r="E11" s="71" t="s">
        <v>223</v>
      </c>
      <c r="F11" s="28">
        <v>1.0</v>
      </c>
      <c r="G11" s="28">
        <v>1.0</v>
      </c>
      <c r="H11" s="28">
        <v>1.0</v>
      </c>
      <c r="I11" s="28">
        <v>3.0</v>
      </c>
      <c r="J11" s="28">
        <v>3.0</v>
      </c>
      <c r="K11" s="28">
        <v>3.0</v>
      </c>
      <c r="L11" s="123" t="str">
        <f t="shared" ref="L11:N11" si="7">IFERROR(F11/I11, 0)</f>
        <v>  0.33333 </v>
      </c>
      <c r="M11" s="123" t="str">
        <f t="shared" si="7"/>
        <v>  0.33333 </v>
      </c>
      <c r="N11" s="123" t="str">
        <f t="shared" si="7"/>
        <v>  0.33333 </v>
      </c>
      <c r="O11" s="94"/>
      <c r="P11" s="120"/>
      <c r="Q11" s="121"/>
      <c r="R11" s="120"/>
      <c r="S11" s="120"/>
      <c r="T11" s="120"/>
      <c r="U11" s="120"/>
      <c r="V11" s="120"/>
      <c r="W11" s="120"/>
      <c r="X11" s="124"/>
      <c r="Y11" s="124"/>
      <c r="Z11" s="124"/>
      <c r="AA11" s="120"/>
      <c r="AB11" s="121"/>
      <c r="AC11" s="120"/>
      <c r="AD11" s="120"/>
      <c r="AE11" s="120"/>
      <c r="AF11" s="120"/>
      <c r="AG11" s="120"/>
      <c r="AH11" s="120"/>
    </row>
    <row r="12" ht="14.25" customHeight="1">
      <c r="A12" s="94"/>
      <c r="B12" s="67">
        <v>8.0</v>
      </c>
      <c r="C12" s="52"/>
      <c r="D12" s="67" t="s">
        <v>74</v>
      </c>
      <c r="E12" s="71" t="s">
        <v>75</v>
      </c>
      <c r="F12" s="28">
        <v>2.0</v>
      </c>
      <c r="G12" s="28">
        <v>1.0</v>
      </c>
      <c r="H12" s="28">
        <v>1.0</v>
      </c>
      <c r="I12" s="28">
        <v>6.0</v>
      </c>
      <c r="J12" s="28">
        <v>5.0</v>
      </c>
      <c r="K12" s="28">
        <v>5.0</v>
      </c>
      <c r="L12" s="123" t="str">
        <f t="shared" ref="L12:N12" si="8">IFERROR(F12/I12, 0)</f>
        <v>  0.33333 </v>
      </c>
      <c r="M12" s="123" t="str">
        <f t="shared" si="8"/>
        <v>  0.20000 </v>
      </c>
      <c r="N12" s="123" t="str">
        <f t="shared" si="8"/>
        <v>  0.20000 </v>
      </c>
      <c r="O12" s="94"/>
      <c r="P12" s="120"/>
      <c r="Q12" s="121"/>
      <c r="R12" s="120"/>
      <c r="S12" s="120"/>
      <c r="T12" s="120"/>
      <c r="U12" s="120"/>
      <c r="V12" s="120"/>
      <c r="W12" s="120"/>
      <c r="X12" s="124"/>
      <c r="Y12" s="124"/>
      <c r="Z12" s="124"/>
      <c r="AA12" s="120"/>
      <c r="AB12" s="121"/>
      <c r="AC12" s="120"/>
      <c r="AD12" s="120"/>
      <c r="AE12" s="120"/>
      <c r="AF12" s="120"/>
      <c r="AG12" s="120"/>
      <c r="AH12" s="120"/>
    </row>
    <row r="13" ht="14.25" customHeight="1">
      <c r="A13" s="94"/>
      <c r="B13" s="67">
        <v>9.0</v>
      </c>
      <c r="C13" s="52"/>
      <c r="D13" s="67" t="s">
        <v>28</v>
      </c>
      <c r="E13" s="71" t="s">
        <v>29</v>
      </c>
      <c r="F13" s="28">
        <v>0.0</v>
      </c>
      <c r="G13" s="28">
        <v>0.0</v>
      </c>
      <c r="H13" s="28">
        <v>0.0</v>
      </c>
      <c r="I13" s="28">
        <v>5.0</v>
      </c>
      <c r="J13" s="28">
        <v>5.0</v>
      </c>
      <c r="K13" s="28">
        <v>6.0</v>
      </c>
      <c r="L13" s="123" t="str">
        <f t="shared" ref="L13:N13" si="9">IFERROR(F13/I13, 0)</f>
        <v>  -   </v>
      </c>
      <c r="M13" s="123" t="str">
        <f t="shared" si="9"/>
        <v>  -   </v>
      </c>
      <c r="N13" s="123" t="str">
        <f t="shared" si="9"/>
        <v>  -   </v>
      </c>
      <c r="O13" s="94"/>
      <c r="P13" s="120"/>
      <c r="Q13" s="121"/>
      <c r="R13" s="120"/>
      <c r="S13" s="120"/>
      <c r="T13" s="120"/>
      <c r="U13" s="120"/>
      <c r="V13" s="120"/>
      <c r="W13" s="120"/>
      <c r="X13" s="124"/>
      <c r="Y13" s="124"/>
      <c r="Z13" s="124"/>
      <c r="AA13" s="120"/>
      <c r="AB13" s="121"/>
      <c r="AC13" s="120"/>
      <c r="AD13" s="120"/>
      <c r="AE13" s="120"/>
      <c r="AF13" s="120"/>
      <c r="AG13" s="120"/>
      <c r="AH13" s="120"/>
    </row>
    <row r="14" ht="14.25" customHeight="1">
      <c r="A14" s="94"/>
      <c r="B14" s="67">
        <v>10.0</v>
      </c>
      <c r="C14" s="52"/>
      <c r="D14" s="67" t="s">
        <v>24</v>
      </c>
      <c r="E14" s="71" t="s">
        <v>25</v>
      </c>
      <c r="F14" s="28">
        <v>1.0</v>
      </c>
      <c r="G14" s="28">
        <v>1.0</v>
      </c>
      <c r="H14" s="28">
        <v>1.0</v>
      </c>
      <c r="I14" s="28">
        <v>6.0</v>
      </c>
      <c r="J14" s="28">
        <v>6.0</v>
      </c>
      <c r="K14" s="28">
        <v>6.0</v>
      </c>
      <c r="L14" s="123" t="str">
        <f t="shared" ref="L14:N14" si="10">IFERROR(F14/I14, 0)</f>
        <v>  0.16667 </v>
      </c>
      <c r="M14" s="123" t="str">
        <f t="shared" si="10"/>
        <v>  0.16667 </v>
      </c>
      <c r="N14" s="123" t="str">
        <f t="shared" si="10"/>
        <v>  0.16667 </v>
      </c>
      <c r="O14" s="94"/>
      <c r="P14" s="120"/>
      <c r="Q14" s="121"/>
      <c r="R14" s="120"/>
      <c r="S14" s="120"/>
      <c r="T14" s="120"/>
      <c r="U14" s="120"/>
      <c r="V14" s="120"/>
      <c r="W14" s="120"/>
      <c r="X14" s="124"/>
      <c r="Y14" s="124"/>
      <c r="Z14" s="124"/>
      <c r="AA14" s="120"/>
      <c r="AB14" s="120"/>
      <c r="AC14" s="120"/>
      <c r="AD14" s="120"/>
      <c r="AE14" s="120"/>
      <c r="AF14" s="120"/>
      <c r="AG14" s="120"/>
      <c r="AH14" s="120"/>
    </row>
    <row r="15" ht="14.25" customHeight="1">
      <c r="A15" s="94"/>
      <c r="B15" s="67">
        <v>11.0</v>
      </c>
      <c r="C15" s="52"/>
      <c r="D15" s="67" t="s">
        <v>110</v>
      </c>
      <c r="E15" s="71" t="s">
        <v>111</v>
      </c>
      <c r="F15" s="28">
        <v>0.0</v>
      </c>
      <c r="G15" s="28">
        <v>0.0</v>
      </c>
      <c r="H15" s="28">
        <v>0.0</v>
      </c>
      <c r="I15" s="28">
        <v>6.0</v>
      </c>
      <c r="J15" s="28">
        <v>7.0</v>
      </c>
      <c r="K15" s="28">
        <v>7.0</v>
      </c>
      <c r="L15" s="123" t="str">
        <f t="shared" ref="L15:N15" si="11">IFERROR(F15/I15, 0)</f>
        <v>  -   </v>
      </c>
      <c r="M15" s="123" t="str">
        <f t="shared" si="11"/>
        <v>  -   </v>
      </c>
      <c r="N15" s="123" t="str">
        <f t="shared" si="11"/>
        <v>  -   </v>
      </c>
      <c r="O15" s="94"/>
      <c r="P15" s="120"/>
      <c r="Q15" s="121"/>
      <c r="R15" s="120"/>
      <c r="S15" s="120"/>
      <c r="T15" s="120"/>
      <c r="U15" s="120"/>
      <c r="V15" s="120"/>
      <c r="W15" s="120"/>
      <c r="X15" s="124"/>
      <c r="Y15" s="124"/>
      <c r="Z15" s="124"/>
      <c r="AA15" s="120"/>
      <c r="AB15" s="121"/>
      <c r="AC15" s="120"/>
      <c r="AD15" s="120"/>
      <c r="AE15" s="120"/>
      <c r="AF15" s="120"/>
      <c r="AG15" s="120"/>
      <c r="AH15" s="120"/>
    </row>
    <row r="16" ht="14.25" customHeight="1">
      <c r="A16" s="94"/>
      <c r="B16" s="67">
        <v>12.0</v>
      </c>
      <c r="C16" s="52"/>
      <c r="D16" s="67" t="s">
        <v>26</v>
      </c>
      <c r="E16" s="71" t="s">
        <v>27</v>
      </c>
      <c r="F16" s="28">
        <v>0.0</v>
      </c>
      <c r="G16" s="28">
        <v>0.0</v>
      </c>
      <c r="H16" s="28">
        <v>0.0</v>
      </c>
      <c r="I16" s="28">
        <v>4.0</v>
      </c>
      <c r="J16" s="28">
        <v>4.0</v>
      </c>
      <c r="K16" s="28">
        <v>4.0</v>
      </c>
      <c r="L16" s="123" t="str">
        <f t="shared" ref="L16:N16" si="12">IFERROR(F16/I16, 0)</f>
        <v>  -   </v>
      </c>
      <c r="M16" s="123" t="str">
        <f t="shared" si="12"/>
        <v>  -   </v>
      </c>
      <c r="N16" s="123" t="str">
        <f t="shared" si="12"/>
        <v>  -   </v>
      </c>
      <c r="O16" s="94"/>
      <c r="P16" s="120"/>
      <c r="Q16" s="121"/>
      <c r="R16" s="120"/>
      <c r="S16" s="120"/>
      <c r="T16" s="120"/>
      <c r="U16" s="120"/>
      <c r="V16" s="120"/>
      <c r="W16" s="120"/>
      <c r="X16" s="124"/>
      <c r="Y16" s="124"/>
      <c r="Z16" s="124"/>
      <c r="AA16" s="120"/>
      <c r="AB16" s="121"/>
      <c r="AC16" s="120"/>
      <c r="AD16" s="120"/>
      <c r="AE16" s="120"/>
      <c r="AF16" s="120"/>
      <c r="AG16" s="120"/>
      <c r="AH16" s="120"/>
    </row>
    <row r="17" ht="14.25" customHeight="1">
      <c r="A17" s="94"/>
      <c r="B17" s="67">
        <v>13.0</v>
      </c>
      <c r="C17" s="52"/>
      <c r="D17" s="67" t="s">
        <v>30</v>
      </c>
      <c r="E17" s="71" t="s">
        <v>31</v>
      </c>
      <c r="F17" s="28">
        <v>0.0</v>
      </c>
      <c r="G17" s="28">
        <v>0.0</v>
      </c>
      <c r="H17" s="28">
        <v>0.0</v>
      </c>
      <c r="I17" s="28">
        <v>4.0</v>
      </c>
      <c r="J17" s="28">
        <v>4.0</v>
      </c>
      <c r="K17" s="28">
        <v>5.0</v>
      </c>
      <c r="L17" s="123" t="str">
        <f t="shared" ref="L17:N17" si="13">IFERROR(F17/I17, 0)</f>
        <v>  -   </v>
      </c>
      <c r="M17" s="123" t="str">
        <f t="shared" si="13"/>
        <v>  -   </v>
      </c>
      <c r="N17" s="123" t="str">
        <f t="shared" si="13"/>
        <v>  -   </v>
      </c>
      <c r="O17" s="94"/>
      <c r="P17" s="120"/>
      <c r="Q17" s="121"/>
      <c r="R17" s="120"/>
      <c r="S17" s="120"/>
      <c r="T17" s="120"/>
      <c r="U17" s="120"/>
      <c r="V17" s="120"/>
      <c r="W17" s="120"/>
      <c r="X17" s="124"/>
      <c r="Y17" s="124"/>
      <c r="Z17" s="124"/>
      <c r="AA17" s="120"/>
      <c r="AB17" s="121"/>
      <c r="AC17" s="120"/>
      <c r="AD17" s="120"/>
      <c r="AE17" s="120"/>
      <c r="AF17" s="120"/>
      <c r="AG17" s="120"/>
      <c r="AH17" s="120"/>
    </row>
    <row r="18" ht="14.25" customHeight="1">
      <c r="A18" s="94"/>
      <c r="B18" s="67">
        <v>14.0</v>
      </c>
      <c r="C18" s="52"/>
      <c r="D18" s="67" t="s">
        <v>120</v>
      </c>
      <c r="E18" s="71" t="s">
        <v>121</v>
      </c>
      <c r="F18" s="28">
        <v>0.0</v>
      </c>
      <c r="G18" s="28">
        <v>0.0</v>
      </c>
      <c r="H18" s="28">
        <v>0.0</v>
      </c>
      <c r="I18" s="28">
        <v>3.0</v>
      </c>
      <c r="J18" s="28">
        <v>2.0</v>
      </c>
      <c r="K18" s="28">
        <v>3.0</v>
      </c>
      <c r="L18" s="123" t="str">
        <f t="shared" ref="L18:N18" si="14">IFERROR(F18/I18, 0)</f>
        <v>  -   </v>
      </c>
      <c r="M18" s="123" t="str">
        <f t="shared" si="14"/>
        <v>  -   </v>
      </c>
      <c r="N18" s="123" t="str">
        <f t="shared" si="14"/>
        <v>  -   </v>
      </c>
      <c r="O18" s="94"/>
      <c r="P18" s="120"/>
      <c r="Q18" s="121"/>
      <c r="R18" s="120"/>
      <c r="S18" s="120"/>
      <c r="T18" s="120"/>
      <c r="U18" s="120"/>
      <c r="V18" s="120"/>
      <c r="W18" s="120"/>
      <c r="X18" s="124"/>
      <c r="Y18" s="124"/>
      <c r="Z18" s="124"/>
      <c r="AA18" s="120"/>
      <c r="AB18" s="121"/>
      <c r="AC18" s="120"/>
      <c r="AD18" s="120"/>
      <c r="AE18" s="120"/>
      <c r="AF18" s="120"/>
      <c r="AG18" s="120"/>
      <c r="AH18" s="120"/>
    </row>
    <row r="19" ht="14.25" customHeight="1">
      <c r="A19" s="94"/>
      <c r="B19" s="67">
        <v>15.0</v>
      </c>
      <c r="C19" s="52"/>
      <c r="D19" s="67" t="s">
        <v>118</v>
      </c>
      <c r="E19" s="71" t="s">
        <v>119</v>
      </c>
      <c r="F19" s="28">
        <v>1.0</v>
      </c>
      <c r="G19" s="28">
        <v>1.0</v>
      </c>
      <c r="H19" s="28">
        <v>1.0</v>
      </c>
      <c r="I19" s="28">
        <v>4.0</v>
      </c>
      <c r="J19" s="28">
        <v>4.0</v>
      </c>
      <c r="K19" s="28">
        <v>4.0</v>
      </c>
      <c r="L19" s="123" t="str">
        <f t="shared" ref="L19:N19" si="15">IFERROR(F19/I19, 0)</f>
        <v>  0.25000 </v>
      </c>
      <c r="M19" s="123" t="str">
        <f t="shared" si="15"/>
        <v>  0.25000 </v>
      </c>
      <c r="N19" s="123" t="str">
        <f t="shared" si="15"/>
        <v>  0.25000 </v>
      </c>
      <c r="O19" s="94"/>
      <c r="P19" s="120"/>
      <c r="Q19" s="121"/>
      <c r="R19" s="120"/>
      <c r="S19" s="120"/>
      <c r="T19" s="120"/>
      <c r="U19" s="120"/>
      <c r="V19" s="120"/>
      <c r="W19" s="120"/>
      <c r="X19" s="124"/>
      <c r="Y19" s="124"/>
      <c r="Z19" s="124"/>
      <c r="AA19" s="120"/>
      <c r="AB19" s="121"/>
      <c r="AC19" s="120"/>
      <c r="AD19" s="120"/>
      <c r="AE19" s="120"/>
      <c r="AF19" s="120"/>
      <c r="AG19" s="120"/>
      <c r="AH19" s="120"/>
    </row>
    <row r="20" ht="14.25" customHeight="1">
      <c r="A20" s="94"/>
      <c r="B20" s="67">
        <v>16.0</v>
      </c>
      <c r="C20" s="52"/>
      <c r="D20" s="67" t="s">
        <v>32</v>
      </c>
      <c r="E20" s="71" t="s">
        <v>33</v>
      </c>
      <c r="F20" s="28">
        <v>2.0</v>
      </c>
      <c r="G20" s="28">
        <v>2.0</v>
      </c>
      <c r="H20" s="28">
        <v>2.0</v>
      </c>
      <c r="I20" s="28">
        <v>6.0</v>
      </c>
      <c r="J20" s="28">
        <v>8.0</v>
      </c>
      <c r="K20" s="28">
        <v>8.0</v>
      </c>
      <c r="L20" s="123" t="str">
        <f t="shared" ref="L20:N20" si="16">IFERROR(F20/I20, 0)</f>
        <v>  0.33333 </v>
      </c>
      <c r="M20" s="123" t="str">
        <f t="shared" si="16"/>
        <v>  0.25000 </v>
      </c>
      <c r="N20" s="123" t="str">
        <f t="shared" si="16"/>
        <v>  0.25000 </v>
      </c>
      <c r="O20" s="94"/>
      <c r="P20" s="120"/>
      <c r="Q20" s="121"/>
      <c r="R20" s="120"/>
      <c r="S20" s="120"/>
      <c r="T20" s="120"/>
      <c r="U20" s="120"/>
      <c r="V20" s="120"/>
      <c r="W20" s="120"/>
      <c r="X20" s="124"/>
      <c r="Y20" s="124"/>
      <c r="Z20" s="124"/>
      <c r="AA20" s="120"/>
      <c r="AB20" s="121"/>
      <c r="AC20" s="120"/>
      <c r="AD20" s="120"/>
      <c r="AE20" s="120"/>
      <c r="AF20" s="120"/>
      <c r="AG20" s="120"/>
      <c r="AH20" s="120"/>
    </row>
    <row r="21" ht="14.25" customHeight="1">
      <c r="A21" s="94"/>
      <c r="B21" s="67">
        <v>17.0</v>
      </c>
      <c r="C21" s="52"/>
      <c r="D21" s="67" t="s">
        <v>126</v>
      </c>
      <c r="E21" s="71" t="s">
        <v>127</v>
      </c>
      <c r="F21" s="28">
        <v>0.0</v>
      </c>
      <c r="G21" s="28">
        <v>1.0</v>
      </c>
      <c r="H21" s="28">
        <v>1.0</v>
      </c>
      <c r="I21" s="28">
        <v>3.0</v>
      </c>
      <c r="J21" s="28">
        <v>4.0</v>
      </c>
      <c r="K21" s="28">
        <v>4.0</v>
      </c>
      <c r="L21" s="123" t="str">
        <f t="shared" ref="L21:N21" si="17">IFERROR(F21/I21, 0)</f>
        <v>  -   </v>
      </c>
      <c r="M21" s="123" t="str">
        <f t="shared" si="17"/>
        <v>  0.25000 </v>
      </c>
      <c r="N21" s="123" t="str">
        <f t="shared" si="17"/>
        <v>  0.25000 </v>
      </c>
      <c r="O21" s="94"/>
      <c r="P21" s="120"/>
      <c r="Q21" s="121"/>
      <c r="R21" s="120"/>
      <c r="S21" s="120"/>
      <c r="T21" s="120"/>
      <c r="U21" s="120"/>
      <c r="V21" s="120"/>
      <c r="W21" s="120"/>
      <c r="X21" s="124"/>
      <c r="Y21" s="124"/>
      <c r="Z21" s="124"/>
      <c r="AA21" s="120"/>
      <c r="AB21" s="120"/>
      <c r="AC21" s="120"/>
      <c r="AD21" s="120"/>
      <c r="AE21" s="120"/>
      <c r="AF21" s="120"/>
      <c r="AG21" s="120"/>
      <c r="AH21" s="120"/>
    </row>
    <row r="22" ht="14.25" customHeight="1">
      <c r="A22" s="94"/>
      <c r="B22" s="67">
        <v>18.0</v>
      </c>
      <c r="C22" s="52"/>
      <c r="D22" s="67" t="s">
        <v>134</v>
      </c>
      <c r="E22" s="71" t="s">
        <v>135</v>
      </c>
      <c r="F22" s="28">
        <v>0.0</v>
      </c>
      <c r="G22" s="28">
        <v>0.0</v>
      </c>
      <c r="H22" s="28">
        <v>0.0</v>
      </c>
      <c r="I22" s="28">
        <v>2.0</v>
      </c>
      <c r="J22" s="28">
        <v>2.0</v>
      </c>
      <c r="K22" s="28">
        <v>2.0</v>
      </c>
      <c r="L22" s="123" t="str">
        <f t="shared" ref="L22:N22" si="18">IFERROR(F22/I22, 0)</f>
        <v>  -   </v>
      </c>
      <c r="M22" s="123" t="str">
        <f t="shared" si="18"/>
        <v>  -   </v>
      </c>
      <c r="N22" s="123" t="str">
        <f t="shared" si="18"/>
        <v>  -   </v>
      </c>
      <c r="O22" s="94"/>
      <c r="P22" s="120"/>
      <c r="Q22" s="121"/>
      <c r="R22" s="120"/>
      <c r="S22" s="120"/>
      <c r="T22" s="120"/>
      <c r="U22" s="120"/>
      <c r="V22" s="120"/>
      <c r="W22" s="120"/>
      <c r="X22" s="124"/>
      <c r="Y22" s="124"/>
      <c r="Z22" s="124"/>
      <c r="AA22" s="120"/>
      <c r="AB22" s="120"/>
      <c r="AC22" s="120"/>
      <c r="AD22" s="120"/>
      <c r="AE22" s="120"/>
      <c r="AF22" s="120"/>
      <c r="AG22" s="120"/>
      <c r="AH22" s="120"/>
    </row>
    <row r="23" ht="14.25" customHeight="1">
      <c r="A23" s="94"/>
      <c r="B23" s="67">
        <v>19.0</v>
      </c>
      <c r="C23" s="52"/>
      <c r="D23" s="67" t="s">
        <v>234</v>
      </c>
      <c r="E23" s="71" t="s">
        <v>235</v>
      </c>
      <c r="F23" s="28">
        <v>1.0</v>
      </c>
      <c r="G23" s="28">
        <v>2.0</v>
      </c>
      <c r="H23" s="28">
        <v>2.0</v>
      </c>
      <c r="I23" s="28">
        <v>5.0</v>
      </c>
      <c r="J23" s="28">
        <v>6.0</v>
      </c>
      <c r="K23" s="28">
        <v>6.0</v>
      </c>
      <c r="L23" s="123" t="str">
        <f t="shared" ref="L23:N23" si="19">IFERROR(F23/I23, 0)</f>
        <v>  0.20000 </v>
      </c>
      <c r="M23" s="123" t="str">
        <f t="shared" si="19"/>
        <v>  0.33333 </v>
      </c>
      <c r="N23" s="123" t="str">
        <f t="shared" si="19"/>
        <v>  0.33333 </v>
      </c>
      <c r="O23" s="94"/>
      <c r="P23" s="120"/>
      <c r="Q23" s="121"/>
      <c r="R23" s="120"/>
      <c r="S23" s="120"/>
      <c r="T23" s="120"/>
      <c r="U23" s="120"/>
      <c r="V23" s="120"/>
      <c r="W23" s="120"/>
      <c r="X23" s="124"/>
      <c r="Y23" s="124"/>
      <c r="Z23" s="124"/>
      <c r="AA23" s="120"/>
      <c r="AB23" s="120"/>
      <c r="AC23" s="120"/>
      <c r="AD23" s="120"/>
      <c r="AE23" s="120"/>
      <c r="AF23" s="120"/>
      <c r="AG23" s="120"/>
      <c r="AH23" s="120"/>
    </row>
    <row r="24" ht="14.25" customHeight="1">
      <c r="A24" s="94"/>
      <c r="B24" s="67">
        <v>20.0</v>
      </c>
      <c r="C24" s="52"/>
      <c r="D24" s="67" t="s">
        <v>40</v>
      </c>
      <c r="E24" s="71" t="s">
        <v>41</v>
      </c>
      <c r="F24" s="28">
        <v>0.0</v>
      </c>
      <c r="G24" s="28">
        <v>0.0</v>
      </c>
      <c r="H24" s="28">
        <v>0.0</v>
      </c>
      <c r="I24" s="28">
        <v>9.0</v>
      </c>
      <c r="J24" s="28">
        <v>9.0</v>
      </c>
      <c r="K24" s="28">
        <v>9.0</v>
      </c>
      <c r="L24" s="123" t="str">
        <f t="shared" ref="L24:N24" si="20">IFERROR(F24/I24, 0)</f>
        <v>  -   </v>
      </c>
      <c r="M24" s="123" t="str">
        <f t="shared" si="20"/>
        <v>  -   </v>
      </c>
      <c r="N24" s="123" t="str">
        <f t="shared" si="20"/>
        <v>  -   </v>
      </c>
      <c r="O24" s="94"/>
      <c r="P24" s="120"/>
      <c r="Q24" s="121"/>
      <c r="R24" s="120"/>
      <c r="S24" s="120"/>
      <c r="T24" s="120"/>
      <c r="U24" s="120"/>
      <c r="V24" s="120"/>
      <c r="W24" s="120"/>
      <c r="X24" s="124"/>
      <c r="Y24" s="124"/>
      <c r="Z24" s="124"/>
      <c r="AA24" s="120"/>
      <c r="AB24" s="120"/>
      <c r="AC24" s="120"/>
      <c r="AD24" s="120"/>
      <c r="AE24" s="120"/>
      <c r="AF24" s="120"/>
      <c r="AG24" s="120"/>
      <c r="AH24" s="120"/>
    </row>
    <row r="25" ht="14.25" customHeight="1">
      <c r="A25" s="94"/>
      <c r="B25" s="67">
        <v>21.0</v>
      </c>
      <c r="C25" s="52"/>
      <c r="D25" s="67" t="s">
        <v>38</v>
      </c>
      <c r="E25" s="71" t="s">
        <v>39</v>
      </c>
      <c r="F25" s="28">
        <v>0.0</v>
      </c>
      <c r="G25" s="28">
        <v>0.0</v>
      </c>
      <c r="H25" s="28">
        <v>0.0</v>
      </c>
      <c r="I25" s="28">
        <v>6.0</v>
      </c>
      <c r="J25" s="28">
        <v>6.0</v>
      </c>
      <c r="K25" s="28">
        <v>6.0</v>
      </c>
      <c r="L25" s="123" t="str">
        <f t="shared" ref="L25:N25" si="21">IFERROR(F25/I25, 0)</f>
        <v>  -   </v>
      </c>
      <c r="M25" s="123" t="str">
        <f t="shared" si="21"/>
        <v>  -   </v>
      </c>
      <c r="N25" s="123" t="str">
        <f t="shared" si="21"/>
        <v>  -   </v>
      </c>
      <c r="O25" s="94"/>
      <c r="P25" s="120"/>
      <c r="Q25" s="121"/>
      <c r="R25" s="120"/>
      <c r="S25" s="120"/>
      <c r="T25" s="120"/>
      <c r="U25" s="120"/>
      <c r="V25" s="120"/>
      <c r="W25" s="120"/>
      <c r="X25" s="124"/>
      <c r="Y25" s="124"/>
      <c r="Z25" s="124"/>
      <c r="AA25" s="120"/>
      <c r="AB25" s="120"/>
      <c r="AC25" s="120"/>
      <c r="AD25" s="120"/>
      <c r="AE25" s="120"/>
      <c r="AF25" s="120"/>
      <c r="AG25" s="120"/>
      <c r="AH25" s="120"/>
    </row>
    <row r="26" ht="14.25" customHeight="1">
      <c r="A26" s="94"/>
      <c r="B26" s="67">
        <v>22.0</v>
      </c>
      <c r="C26" s="52"/>
      <c r="D26" s="67" t="s">
        <v>140</v>
      </c>
      <c r="E26" s="71" t="s">
        <v>141</v>
      </c>
      <c r="F26" s="28">
        <v>0.0</v>
      </c>
      <c r="G26" s="28">
        <v>0.0</v>
      </c>
      <c r="H26" s="28">
        <v>0.0</v>
      </c>
      <c r="I26" s="28">
        <v>5.0</v>
      </c>
      <c r="J26" s="28">
        <v>4.0</v>
      </c>
      <c r="K26" s="28">
        <v>4.0</v>
      </c>
      <c r="L26" s="123" t="str">
        <f t="shared" ref="L26:N26" si="22">IFERROR(F26/I26, 0)</f>
        <v>  -   </v>
      </c>
      <c r="M26" s="123" t="str">
        <f t="shared" si="22"/>
        <v>  -   </v>
      </c>
      <c r="N26" s="123" t="str">
        <f t="shared" si="22"/>
        <v>  -   </v>
      </c>
      <c r="O26" s="94"/>
      <c r="P26" s="120"/>
      <c r="Q26" s="121"/>
      <c r="R26" s="120"/>
      <c r="S26" s="120"/>
      <c r="T26" s="120"/>
      <c r="U26" s="120"/>
      <c r="V26" s="120"/>
      <c r="W26" s="120"/>
      <c r="X26" s="124"/>
      <c r="Y26" s="124"/>
      <c r="Z26" s="124"/>
      <c r="AA26" s="120"/>
      <c r="AB26" s="120"/>
      <c r="AC26" s="120"/>
      <c r="AD26" s="120"/>
      <c r="AE26" s="120"/>
      <c r="AF26" s="120"/>
      <c r="AG26" s="120"/>
      <c r="AH26" s="120"/>
    </row>
    <row r="27" ht="14.25" customHeight="1">
      <c r="A27" s="94"/>
      <c r="B27" s="67">
        <v>23.0</v>
      </c>
      <c r="C27" s="52"/>
      <c r="D27" s="67" t="s">
        <v>42</v>
      </c>
      <c r="E27" s="71" t="s">
        <v>43</v>
      </c>
      <c r="F27" s="28">
        <v>3.0</v>
      </c>
      <c r="G27" s="28">
        <v>1.0</v>
      </c>
      <c r="H27" s="28">
        <v>1.0</v>
      </c>
      <c r="I27" s="28">
        <v>7.0</v>
      </c>
      <c r="J27" s="28">
        <v>7.0</v>
      </c>
      <c r="K27" s="28">
        <v>8.0</v>
      </c>
      <c r="L27" s="123" t="str">
        <f t="shared" ref="L27:N27" si="23">IFERROR(F27/I27, 0)</f>
        <v>  0.42857 </v>
      </c>
      <c r="M27" s="123" t="str">
        <f t="shared" si="23"/>
        <v>  0.14286 </v>
      </c>
      <c r="N27" s="123" t="str">
        <f t="shared" si="23"/>
        <v>  0.12500 </v>
      </c>
      <c r="O27" s="94"/>
      <c r="P27" s="120"/>
      <c r="Q27" s="121"/>
      <c r="R27" s="120"/>
      <c r="S27" s="120"/>
      <c r="T27" s="120"/>
      <c r="U27" s="120"/>
      <c r="V27" s="120"/>
      <c r="W27" s="120"/>
      <c r="X27" s="124"/>
      <c r="Y27" s="124"/>
      <c r="Z27" s="124"/>
      <c r="AA27" s="120"/>
      <c r="AB27" s="120"/>
      <c r="AC27" s="120"/>
      <c r="AD27" s="120"/>
      <c r="AE27" s="120"/>
      <c r="AF27" s="120"/>
      <c r="AG27" s="120"/>
      <c r="AH27" s="120"/>
    </row>
    <row r="28" ht="14.25" customHeight="1">
      <c r="A28" s="94"/>
      <c r="B28" s="67">
        <v>24.0</v>
      </c>
      <c r="C28" s="52"/>
      <c r="D28" s="67" t="s">
        <v>44</v>
      </c>
      <c r="E28" s="71" t="s">
        <v>45</v>
      </c>
      <c r="F28" s="28">
        <v>1.0</v>
      </c>
      <c r="G28" s="28">
        <v>0.0</v>
      </c>
      <c r="H28" s="28">
        <v>0.0</v>
      </c>
      <c r="I28" s="28">
        <v>16.0</v>
      </c>
      <c r="J28" s="28">
        <v>16.0</v>
      </c>
      <c r="K28" s="28">
        <v>17.0</v>
      </c>
      <c r="L28" s="123" t="str">
        <f t="shared" ref="L28:N28" si="24">IFERROR(F28/I28, 0)</f>
        <v>  0.06250 </v>
      </c>
      <c r="M28" s="123" t="str">
        <f t="shared" si="24"/>
        <v>  -   </v>
      </c>
      <c r="N28" s="123" t="str">
        <f t="shared" si="24"/>
        <v>  -   </v>
      </c>
      <c r="O28" s="94"/>
      <c r="P28" s="120"/>
      <c r="Q28" s="121"/>
      <c r="R28" s="120"/>
      <c r="S28" s="120"/>
      <c r="T28" s="120"/>
      <c r="U28" s="120"/>
      <c r="V28" s="120"/>
      <c r="W28" s="120"/>
      <c r="X28" s="124"/>
      <c r="Y28" s="124"/>
      <c r="Z28" s="124"/>
      <c r="AA28" s="120"/>
      <c r="AB28" s="120"/>
      <c r="AC28" s="120"/>
      <c r="AD28" s="120"/>
      <c r="AE28" s="120"/>
      <c r="AF28" s="120"/>
      <c r="AG28" s="120"/>
      <c r="AH28" s="120"/>
    </row>
    <row r="29" ht="14.25" customHeight="1">
      <c r="A29" s="94"/>
      <c r="B29" s="67">
        <v>25.0</v>
      </c>
      <c r="C29" s="52"/>
      <c r="D29" s="67" t="s">
        <v>46</v>
      </c>
      <c r="E29" s="71" t="s">
        <v>47</v>
      </c>
      <c r="F29" s="28">
        <v>2.0</v>
      </c>
      <c r="G29" s="28">
        <v>2.0</v>
      </c>
      <c r="H29" s="28">
        <v>2.0</v>
      </c>
      <c r="I29" s="28">
        <v>19.0</v>
      </c>
      <c r="J29" s="28">
        <v>19.0</v>
      </c>
      <c r="K29" s="28">
        <v>19.0</v>
      </c>
      <c r="L29" s="123" t="str">
        <f t="shared" ref="L29:N29" si="25">IFERROR(F29/I29, 0)</f>
        <v>  0.10526 </v>
      </c>
      <c r="M29" s="123" t="str">
        <f t="shared" si="25"/>
        <v>  0.10526 </v>
      </c>
      <c r="N29" s="123" t="str">
        <f t="shared" si="25"/>
        <v>  0.10526 </v>
      </c>
      <c r="O29" s="94"/>
      <c r="P29" s="120"/>
      <c r="Q29" s="121"/>
      <c r="R29" s="120"/>
      <c r="S29" s="120"/>
      <c r="T29" s="120"/>
      <c r="U29" s="120"/>
      <c r="V29" s="120"/>
      <c r="W29" s="120"/>
      <c r="X29" s="124"/>
      <c r="Y29" s="124"/>
      <c r="Z29" s="124"/>
      <c r="AA29" s="120"/>
      <c r="AB29" s="120"/>
      <c r="AC29" s="120"/>
      <c r="AD29" s="120"/>
      <c r="AE29" s="120"/>
      <c r="AF29" s="120"/>
      <c r="AG29" s="120"/>
      <c r="AH29" s="120"/>
    </row>
    <row r="30" ht="14.25" customHeight="1">
      <c r="A30" s="94"/>
      <c r="B30" s="67">
        <v>26.0</v>
      </c>
      <c r="C30" s="52"/>
      <c r="D30" s="67" t="s">
        <v>150</v>
      </c>
      <c r="E30" s="71" t="s">
        <v>151</v>
      </c>
      <c r="F30" s="28">
        <v>1.0</v>
      </c>
      <c r="G30" s="28">
        <v>1.0</v>
      </c>
      <c r="H30" s="28">
        <v>1.0</v>
      </c>
      <c r="I30" s="28">
        <v>4.0</v>
      </c>
      <c r="J30" s="28">
        <v>4.0</v>
      </c>
      <c r="K30" s="28">
        <v>4.0</v>
      </c>
      <c r="L30" s="123" t="str">
        <f t="shared" ref="L30:N30" si="26">IFERROR(F30/I30, 0)</f>
        <v>  0.25000 </v>
      </c>
      <c r="M30" s="123" t="str">
        <f t="shared" si="26"/>
        <v>  0.25000 </v>
      </c>
      <c r="N30" s="123" t="str">
        <f t="shared" si="26"/>
        <v>  0.25000 </v>
      </c>
      <c r="O30" s="94"/>
      <c r="P30" s="120"/>
      <c r="Q30" s="121"/>
      <c r="R30" s="120"/>
      <c r="S30" s="120"/>
      <c r="T30" s="120"/>
      <c r="U30" s="120"/>
      <c r="V30" s="120"/>
      <c r="W30" s="120"/>
      <c r="X30" s="124"/>
      <c r="Y30" s="124"/>
      <c r="Z30" s="124"/>
      <c r="AA30" s="120"/>
      <c r="AB30" s="120"/>
      <c r="AC30" s="120"/>
      <c r="AD30" s="120"/>
      <c r="AE30" s="120"/>
      <c r="AF30" s="120"/>
      <c r="AG30" s="120"/>
      <c r="AH30" s="120"/>
    </row>
    <row r="31" ht="14.25" customHeight="1">
      <c r="A31" s="94"/>
      <c r="B31" s="67">
        <v>27.0</v>
      </c>
      <c r="C31" s="52"/>
      <c r="D31" s="67" t="s">
        <v>48</v>
      </c>
      <c r="E31" s="71" t="s">
        <v>49</v>
      </c>
      <c r="F31" s="28">
        <v>0.0</v>
      </c>
      <c r="G31" s="28">
        <v>0.0</v>
      </c>
      <c r="H31" s="28">
        <v>0.0</v>
      </c>
      <c r="I31" s="28">
        <v>5.0</v>
      </c>
      <c r="J31" s="28">
        <v>5.0</v>
      </c>
      <c r="K31" s="28">
        <v>5.0</v>
      </c>
      <c r="L31" s="123" t="str">
        <f t="shared" ref="L31:N31" si="27">IFERROR(F31/I31, 0)</f>
        <v>  -   </v>
      </c>
      <c r="M31" s="123" t="str">
        <f t="shared" si="27"/>
        <v>  -   </v>
      </c>
      <c r="N31" s="123" t="str">
        <f t="shared" si="27"/>
        <v>  -   </v>
      </c>
      <c r="O31" s="94"/>
      <c r="P31" s="120"/>
      <c r="Q31" s="121"/>
      <c r="R31" s="120"/>
      <c r="S31" s="120"/>
      <c r="T31" s="120"/>
      <c r="U31" s="120"/>
      <c r="V31" s="120"/>
      <c r="W31" s="120"/>
      <c r="X31" s="124"/>
      <c r="Y31" s="124"/>
      <c r="Z31" s="124"/>
      <c r="AA31" s="120"/>
      <c r="AB31" s="120"/>
      <c r="AC31" s="120"/>
      <c r="AD31" s="120"/>
      <c r="AE31" s="120"/>
      <c r="AF31" s="120"/>
      <c r="AG31" s="120"/>
      <c r="AH31" s="120"/>
    </row>
    <row r="32" ht="14.25" customHeight="1">
      <c r="A32" s="94"/>
      <c r="B32" s="67">
        <v>28.0</v>
      </c>
      <c r="C32" s="52"/>
      <c r="D32" s="67" t="s">
        <v>178</v>
      </c>
      <c r="E32" s="71" t="s">
        <v>179</v>
      </c>
      <c r="F32" s="28">
        <v>0.0</v>
      </c>
      <c r="G32" s="28">
        <v>0.0</v>
      </c>
      <c r="H32" s="28">
        <v>0.0</v>
      </c>
      <c r="I32" s="28">
        <v>6.0</v>
      </c>
      <c r="J32" s="28">
        <v>3.0</v>
      </c>
      <c r="K32" s="28">
        <v>4.0</v>
      </c>
      <c r="L32" s="123" t="str">
        <f t="shared" ref="L32:N32" si="28">IFERROR(F32/I32, 0)</f>
        <v>  -   </v>
      </c>
      <c r="M32" s="123" t="str">
        <f t="shared" si="28"/>
        <v>  -   </v>
      </c>
      <c r="N32" s="123" t="str">
        <f t="shared" si="28"/>
        <v>  -   </v>
      </c>
      <c r="O32" s="94"/>
      <c r="P32" s="120"/>
      <c r="Q32" s="121"/>
      <c r="R32" s="120"/>
      <c r="S32" s="120"/>
      <c r="T32" s="120"/>
      <c r="U32" s="120"/>
      <c r="V32" s="120"/>
      <c r="W32" s="120"/>
      <c r="X32" s="124"/>
      <c r="Y32" s="124"/>
      <c r="Z32" s="124"/>
      <c r="AA32" s="120"/>
      <c r="AB32" s="120"/>
      <c r="AC32" s="120"/>
      <c r="AD32" s="120"/>
      <c r="AE32" s="120"/>
      <c r="AF32" s="120"/>
      <c r="AG32" s="120"/>
      <c r="AH32" s="120"/>
    </row>
    <row r="33" ht="14.25" customHeight="1">
      <c r="A33" s="94"/>
      <c r="B33" s="67">
        <v>29.0</v>
      </c>
      <c r="C33" s="52"/>
      <c r="D33" s="67" t="s">
        <v>162</v>
      </c>
      <c r="E33" s="71" t="s">
        <v>163</v>
      </c>
      <c r="F33" s="28">
        <v>1.0</v>
      </c>
      <c r="G33" s="28">
        <v>1.0</v>
      </c>
      <c r="H33" s="28">
        <v>1.0</v>
      </c>
      <c r="I33" s="28">
        <v>4.0</v>
      </c>
      <c r="J33" s="28">
        <v>4.0</v>
      </c>
      <c r="K33" s="28">
        <v>5.0</v>
      </c>
      <c r="L33" s="123" t="str">
        <f t="shared" ref="L33:N33" si="29">IFERROR(F33/I33, 0)</f>
        <v>  0.25000 </v>
      </c>
      <c r="M33" s="123" t="str">
        <f t="shared" si="29"/>
        <v>  0.25000 </v>
      </c>
      <c r="N33" s="123" t="str">
        <f t="shared" si="29"/>
        <v>  0.20000 </v>
      </c>
      <c r="O33" s="94"/>
      <c r="P33" s="120"/>
      <c r="Q33" s="121"/>
      <c r="R33" s="120"/>
      <c r="S33" s="120"/>
      <c r="T33" s="120"/>
      <c r="U33" s="120"/>
      <c r="V33" s="120"/>
      <c r="W33" s="120"/>
      <c r="X33" s="124"/>
      <c r="Y33" s="124"/>
      <c r="Z33" s="124"/>
      <c r="AA33" s="120"/>
      <c r="AB33" s="120"/>
      <c r="AC33" s="120"/>
      <c r="AD33" s="120"/>
      <c r="AE33" s="120"/>
      <c r="AF33" s="120"/>
      <c r="AG33" s="120"/>
      <c r="AH33" s="120"/>
    </row>
    <row r="34" ht="14.25" customHeight="1">
      <c r="A34" s="94"/>
      <c r="B34" s="67">
        <v>30.0</v>
      </c>
      <c r="C34" s="52"/>
      <c r="D34" s="67" t="s">
        <v>68</v>
      </c>
      <c r="E34" s="71" t="s">
        <v>69</v>
      </c>
      <c r="F34" s="28">
        <v>1.0</v>
      </c>
      <c r="G34" s="28">
        <v>1.0</v>
      </c>
      <c r="H34" s="28">
        <v>2.0</v>
      </c>
      <c r="I34" s="28">
        <v>9.0</v>
      </c>
      <c r="J34" s="28">
        <v>9.0</v>
      </c>
      <c r="K34" s="28">
        <v>9.0</v>
      </c>
      <c r="L34" s="123" t="str">
        <f t="shared" ref="L34:N34" si="30">IFERROR(F34/I34, 0)</f>
        <v>  0.11111 </v>
      </c>
      <c r="M34" s="123" t="str">
        <f t="shared" si="30"/>
        <v>  0.11111 </v>
      </c>
      <c r="N34" s="123" t="str">
        <f t="shared" si="30"/>
        <v>  0.22222 </v>
      </c>
      <c r="O34" s="94"/>
      <c r="P34" s="120"/>
      <c r="Q34" s="121"/>
      <c r="R34" s="120"/>
      <c r="S34" s="120"/>
      <c r="T34" s="120"/>
      <c r="U34" s="120"/>
      <c r="V34" s="120"/>
      <c r="W34" s="120"/>
      <c r="X34" s="124"/>
      <c r="Y34" s="124"/>
      <c r="Z34" s="124"/>
      <c r="AA34" s="120"/>
      <c r="AB34" s="120"/>
      <c r="AC34" s="120"/>
      <c r="AD34" s="120"/>
      <c r="AE34" s="120"/>
      <c r="AF34" s="120"/>
      <c r="AG34" s="120"/>
      <c r="AH34" s="120"/>
    </row>
    <row r="35" ht="14.25" customHeight="1">
      <c r="A35" s="94"/>
      <c r="B35" s="67">
        <v>31.0</v>
      </c>
      <c r="C35" s="52"/>
      <c r="D35" s="67" t="s">
        <v>52</v>
      </c>
      <c r="E35" s="71" t="s">
        <v>53</v>
      </c>
      <c r="F35" s="118">
        <v>0.0</v>
      </c>
      <c r="G35" s="118">
        <v>0.0</v>
      </c>
      <c r="H35" s="118">
        <v>0.0</v>
      </c>
      <c r="I35" s="118">
        <v>7.0</v>
      </c>
      <c r="J35" s="118">
        <v>7.0</v>
      </c>
      <c r="K35" s="118">
        <v>7.0</v>
      </c>
      <c r="L35" s="123" t="str">
        <f t="shared" ref="L35:N35" si="31">IFERROR(F35/I35, 0)</f>
        <v>  -   </v>
      </c>
      <c r="M35" s="123" t="str">
        <f t="shared" si="31"/>
        <v>  -   </v>
      </c>
      <c r="N35" s="123" t="str">
        <f t="shared" si="31"/>
        <v>  -   </v>
      </c>
      <c r="O35" s="94"/>
      <c r="P35" s="120"/>
      <c r="Q35" s="121"/>
      <c r="R35" s="120"/>
      <c r="S35" s="120"/>
      <c r="T35" s="120"/>
      <c r="U35" s="120"/>
      <c r="V35" s="120"/>
      <c r="W35" s="120"/>
      <c r="X35" s="124"/>
      <c r="Y35" s="124"/>
      <c r="Z35" s="124"/>
      <c r="AA35" s="120"/>
      <c r="AB35" s="120"/>
      <c r="AC35" s="120"/>
      <c r="AD35" s="120"/>
      <c r="AE35" s="120"/>
      <c r="AF35" s="120"/>
      <c r="AG35" s="120"/>
      <c r="AH35" s="120"/>
    </row>
    <row r="36" ht="14.25" customHeight="1">
      <c r="A36" s="94"/>
      <c r="B36" s="67">
        <v>32.0</v>
      </c>
      <c r="C36" s="52"/>
      <c r="D36" s="67" t="s">
        <v>58</v>
      </c>
      <c r="E36" s="71" t="s">
        <v>59</v>
      </c>
      <c r="F36" s="28">
        <v>1.0</v>
      </c>
      <c r="G36" s="28">
        <v>2.0</v>
      </c>
      <c r="H36" s="28">
        <v>2.0</v>
      </c>
      <c r="I36" s="28">
        <v>5.0</v>
      </c>
      <c r="J36" s="28">
        <v>5.0</v>
      </c>
      <c r="K36" s="28">
        <v>5.0</v>
      </c>
      <c r="L36" s="123" t="str">
        <f t="shared" ref="L36:N36" si="32">IFERROR(F36/I36, 0)</f>
        <v>  0.20000 </v>
      </c>
      <c r="M36" s="123" t="str">
        <f t="shared" si="32"/>
        <v>  0.40000 </v>
      </c>
      <c r="N36" s="123" t="str">
        <f t="shared" si="32"/>
        <v>  0.40000 </v>
      </c>
      <c r="O36" s="94"/>
      <c r="P36" s="120"/>
      <c r="Q36" s="121"/>
      <c r="R36" s="120"/>
      <c r="S36" s="120"/>
      <c r="T36" s="120"/>
      <c r="U36" s="120"/>
      <c r="V36" s="120"/>
      <c r="W36" s="120"/>
      <c r="X36" s="124"/>
      <c r="Y36" s="124"/>
      <c r="Z36" s="124"/>
      <c r="AA36" s="120"/>
      <c r="AB36" s="120"/>
      <c r="AC36" s="120"/>
      <c r="AD36" s="120"/>
      <c r="AE36" s="120"/>
      <c r="AF36" s="120"/>
      <c r="AG36" s="120"/>
      <c r="AH36" s="120"/>
    </row>
    <row r="37" ht="14.25" customHeight="1">
      <c r="A37" s="94"/>
      <c r="B37" s="67">
        <v>33.0</v>
      </c>
      <c r="C37" s="52"/>
      <c r="D37" s="67" t="s">
        <v>60</v>
      </c>
      <c r="E37" s="71" t="s">
        <v>61</v>
      </c>
      <c r="F37" s="28">
        <v>2.0</v>
      </c>
      <c r="G37" s="28">
        <v>3.0</v>
      </c>
      <c r="H37" s="28">
        <v>2.0</v>
      </c>
      <c r="I37" s="28">
        <v>4.0</v>
      </c>
      <c r="J37" s="28">
        <v>5.0</v>
      </c>
      <c r="K37" s="28">
        <v>4.0</v>
      </c>
      <c r="L37" s="123" t="str">
        <f t="shared" ref="L37:N37" si="33">IFERROR(F37/I37, 0)</f>
        <v>  0.50000 </v>
      </c>
      <c r="M37" s="123" t="str">
        <f t="shared" si="33"/>
        <v>  0.60000 </v>
      </c>
      <c r="N37" s="123" t="str">
        <f t="shared" si="33"/>
        <v>  0.50000 </v>
      </c>
      <c r="O37" s="94"/>
      <c r="P37" s="120"/>
      <c r="Q37" s="121"/>
      <c r="R37" s="120"/>
      <c r="S37" s="120"/>
      <c r="T37" s="120"/>
      <c r="U37" s="120"/>
      <c r="V37" s="120"/>
      <c r="W37" s="120"/>
      <c r="X37" s="124"/>
      <c r="Y37" s="124"/>
      <c r="Z37" s="124"/>
      <c r="AA37" s="120"/>
      <c r="AB37" s="120"/>
      <c r="AC37" s="120"/>
      <c r="AD37" s="120"/>
      <c r="AE37" s="120"/>
      <c r="AF37" s="120"/>
      <c r="AG37" s="120"/>
      <c r="AH37" s="120"/>
    </row>
    <row r="38" ht="14.25" customHeight="1">
      <c r="A38" s="94"/>
      <c r="B38" s="67">
        <v>34.0</v>
      </c>
      <c r="C38" s="52"/>
      <c r="D38" s="67" t="s">
        <v>62</v>
      </c>
      <c r="E38" s="71" t="s">
        <v>63</v>
      </c>
      <c r="F38" s="28">
        <v>0.0</v>
      </c>
      <c r="G38" s="28">
        <v>0.0</v>
      </c>
      <c r="H38" s="28">
        <v>0.0</v>
      </c>
      <c r="I38" s="28">
        <v>5.0</v>
      </c>
      <c r="J38" s="28">
        <v>4.0</v>
      </c>
      <c r="K38" s="28">
        <v>4.0</v>
      </c>
      <c r="L38" s="123" t="str">
        <f t="shared" ref="L38:N38" si="34">IFERROR(F38/I38, 0)</f>
        <v>  -   </v>
      </c>
      <c r="M38" s="123" t="str">
        <f t="shared" si="34"/>
        <v>  -   </v>
      </c>
      <c r="N38" s="123" t="str">
        <f t="shared" si="34"/>
        <v>  -   </v>
      </c>
      <c r="O38" s="94"/>
      <c r="P38" s="120"/>
      <c r="Q38" s="121"/>
      <c r="R38" s="120"/>
      <c r="S38" s="120"/>
      <c r="T38" s="120"/>
      <c r="U38" s="120"/>
      <c r="V38" s="120"/>
      <c r="W38" s="120"/>
      <c r="X38" s="124"/>
      <c r="Y38" s="124"/>
      <c r="Z38" s="124"/>
      <c r="AA38" s="120"/>
      <c r="AB38" s="120"/>
      <c r="AC38" s="120"/>
      <c r="AD38" s="120"/>
      <c r="AE38" s="120"/>
      <c r="AF38" s="120"/>
      <c r="AG38" s="120"/>
      <c r="AH38" s="120"/>
    </row>
    <row r="39" ht="14.25" customHeight="1">
      <c r="A39" s="94"/>
      <c r="B39" s="67">
        <v>35.0</v>
      </c>
      <c r="C39" s="52"/>
      <c r="D39" s="67" t="s">
        <v>54</v>
      </c>
      <c r="E39" s="71" t="s">
        <v>55</v>
      </c>
      <c r="F39" s="28">
        <v>0.0</v>
      </c>
      <c r="G39" s="28">
        <v>0.0</v>
      </c>
      <c r="H39" s="28">
        <v>0.0</v>
      </c>
      <c r="I39" s="28">
        <v>6.0</v>
      </c>
      <c r="J39" s="28">
        <v>6.0</v>
      </c>
      <c r="K39" s="28">
        <v>6.0</v>
      </c>
      <c r="L39" s="123" t="str">
        <f t="shared" ref="L39:N39" si="35">IFERROR(F39/I39, 0)</f>
        <v>  -   </v>
      </c>
      <c r="M39" s="123" t="str">
        <f t="shared" si="35"/>
        <v>  -   </v>
      </c>
      <c r="N39" s="123" t="str">
        <f t="shared" si="35"/>
        <v>  -   </v>
      </c>
      <c r="O39" s="94"/>
      <c r="P39" s="120"/>
      <c r="Q39" s="121"/>
      <c r="R39" s="120"/>
      <c r="S39" s="120"/>
      <c r="T39" s="120"/>
      <c r="U39" s="120"/>
      <c r="V39" s="120"/>
      <c r="W39" s="120"/>
      <c r="X39" s="124"/>
      <c r="Y39" s="124"/>
      <c r="Z39" s="124"/>
      <c r="AA39" s="120"/>
      <c r="AB39" s="120"/>
      <c r="AC39" s="120"/>
      <c r="AD39" s="120"/>
      <c r="AE39" s="120"/>
      <c r="AF39" s="120"/>
      <c r="AG39" s="120"/>
      <c r="AH39" s="120"/>
    </row>
    <row r="40" ht="14.25" customHeight="1">
      <c r="A40" s="94"/>
      <c r="B40" s="67">
        <v>36.0</v>
      </c>
      <c r="C40" s="52"/>
      <c r="D40" s="67" t="s">
        <v>190</v>
      </c>
      <c r="E40" s="71" t="s">
        <v>191</v>
      </c>
      <c r="F40" s="28">
        <v>0.0</v>
      </c>
      <c r="G40" s="28">
        <v>0.0</v>
      </c>
      <c r="H40" s="28">
        <v>0.0</v>
      </c>
      <c r="I40" s="28">
        <v>2.0</v>
      </c>
      <c r="J40" s="28">
        <v>2.0</v>
      </c>
      <c r="K40" s="28">
        <v>2.0</v>
      </c>
      <c r="L40" s="123" t="str">
        <f t="shared" ref="L40:N40" si="36">IFERROR(F40/I40, 0)</f>
        <v>  -   </v>
      </c>
      <c r="M40" s="123" t="str">
        <f t="shared" si="36"/>
        <v>  -   </v>
      </c>
      <c r="N40" s="123" t="str">
        <f t="shared" si="36"/>
        <v>  -   </v>
      </c>
      <c r="O40" s="94"/>
      <c r="P40" s="120"/>
      <c r="Q40" s="121"/>
      <c r="R40" s="120"/>
      <c r="S40" s="120"/>
      <c r="T40" s="120"/>
      <c r="U40" s="120"/>
      <c r="V40" s="120"/>
      <c r="W40" s="120"/>
      <c r="X40" s="124"/>
      <c r="Y40" s="124"/>
      <c r="Z40" s="124"/>
      <c r="AA40" s="120"/>
      <c r="AB40" s="120"/>
      <c r="AC40" s="120"/>
      <c r="AD40" s="120"/>
      <c r="AE40" s="120"/>
      <c r="AF40" s="120"/>
      <c r="AG40" s="120"/>
      <c r="AH40" s="120"/>
    </row>
    <row r="41" ht="14.25" customHeight="1">
      <c r="A41" s="94"/>
      <c r="B41" s="67">
        <v>37.0</v>
      </c>
      <c r="C41" s="52"/>
      <c r="D41" s="67" t="s">
        <v>64</v>
      </c>
      <c r="E41" s="71" t="s">
        <v>65</v>
      </c>
      <c r="F41" s="28">
        <v>3.0</v>
      </c>
      <c r="G41" s="28">
        <v>3.0</v>
      </c>
      <c r="H41" s="28">
        <v>3.0</v>
      </c>
      <c r="I41" s="28">
        <v>7.0</v>
      </c>
      <c r="J41" s="28">
        <v>7.0</v>
      </c>
      <c r="K41" s="28">
        <v>7.0</v>
      </c>
      <c r="L41" s="123" t="str">
        <f t="shared" ref="L41:N41" si="37">IFERROR(F41/I41, 0)</f>
        <v>  0.42857 </v>
      </c>
      <c r="M41" s="123" t="str">
        <f t="shared" si="37"/>
        <v>  0.42857 </v>
      </c>
      <c r="N41" s="123" t="str">
        <f t="shared" si="37"/>
        <v>  0.42857 </v>
      </c>
      <c r="O41" s="94"/>
      <c r="P41" s="120"/>
      <c r="Q41" s="121"/>
      <c r="R41" s="120"/>
      <c r="S41" s="120"/>
      <c r="T41" s="120"/>
      <c r="U41" s="120"/>
      <c r="V41" s="120"/>
      <c r="W41" s="120"/>
      <c r="X41" s="124"/>
      <c r="Y41" s="124"/>
      <c r="Z41" s="124"/>
      <c r="AA41" s="120"/>
      <c r="AB41" s="120"/>
      <c r="AC41" s="120"/>
      <c r="AD41" s="120"/>
      <c r="AE41" s="120"/>
      <c r="AF41" s="120"/>
      <c r="AG41" s="120"/>
      <c r="AH41" s="120"/>
    </row>
    <row r="42" ht="14.25" customHeight="1">
      <c r="A42" s="94"/>
      <c r="B42" s="67">
        <v>38.0</v>
      </c>
      <c r="C42" s="52"/>
      <c r="D42" s="67" t="s">
        <v>184</v>
      </c>
      <c r="E42" s="71" t="s">
        <v>185</v>
      </c>
      <c r="F42" s="28">
        <v>3.0</v>
      </c>
      <c r="G42" s="28">
        <v>3.0</v>
      </c>
      <c r="H42" s="28">
        <v>3.0</v>
      </c>
      <c r="I42" s="28">
        <v>5.0</v>
      </c>
      <c r="J42" s="28">
        <v>5.0</v>
      </c>
      <c r="K42" s="28">
        <v>5.0</v>
      </c>
      <c r="L42" s="123" t="str">
        <f t="shared" ref="L42:N42" si="38">IFERROR(F42/I42, 0)</f>
        <v>  0.60000 </v>
      </c>
      <c r="M42" s="123" t="str">
        <f t="shared" si="38"/>
        <v>  0.60000 </v>
      </c>
      <c r="N42" s="123" t="str">
        <f t="shared" si="38"/>
        <v>  0.60000 </v>
      </c>
      <c r="O42" s="94"/>
      <c r="P42" s="120"/>
      <c r="Q42" s="121"/>
      <c r="R42" s="120"/>
      <c r="S42" s="120"/>
      <c r="T42" s="120"/>
      <c r="U42" s="120"/>
      <c r="V42" s="120"/>
      <c r="W42" s="120"/>
      <c r="X42" s="124"/>
      <c r="Y42" s="124"/>
      <c r="Z42" s="124"/>
      <c r="AA42" s="120"/>
      <c r="AB42" s="120"/>
      <c r="AC42" s="120"/>
      <c r="AD42" s="120"/>
      <c r="AE42" s="120"/>
      <c r="AF42" s="120"/>
      <c r="AG42" s="120"/>
      <c r="AH42" s="120"/>
    </row>
    <row r="43" ht="14.25" customHeight="1">
      <c r="A43" s="94"/>
      <c r="B43" s="67">
        <v>39.0</v>
      </c>
      <c r="C43" s="52"/>
      <c r="D43" s="67" t="s">
        <v>176</v>
      </c>
      <c r="E43" s="71" t="s">
        <v>177</v>
      </c>
      <c r="F43" s="28">
        <v>0.0</v>
      </c>
      <c r="G43" s="28">
        <v>0.0</v>
      </c>
      <c r="H43" s="28">
        <v>0.0</v>
      </c>
      <c r="I43" s="28">
        <v>2.0</v>
      </c>
      <c r="J43" s="28">
        <v>2.0</v>
      </c>
      <c r="K43" s="28">
        <v>2.0</v>
      </c>
      <c r="L43" s="123" t="str">
        <f t="shared" ref="L43:N43" si="39">IFERROR(F43/I43, 0)</f>
        <v>  -   </v>
      </c>
      <c r="M43" s="123" t="str">
        <f t="shared" si="39"/>
        <v>  -   </v>
      </c>
      <c r="N43" s="123" t="str">
        <f t="shared" si="39"/>
        <v>  -   </v>
      </c>
      <c r="O43" s="94"/>
      <c r="P43" s="120"/>
      <c r="Q43" s="121"/>
      <c r="R43" s="120"/>
      <c r="S43" s="120"/>
      <c r="T43" s="120"/>
      <c r="U43" s="120"/>
      <c r="V43" s="120"/>
      <c r="W43" s="120"/>
      <c r="X43" s="124"/>
      <c r="Y43" s="124"/>
      <c r="Z43" s="124"/>
      <c r="AA43" s="120"/>
      <c r="AB43" s="120"/>
      <c r="AC43" s="120"/>
      <c r="AD43" s="120"/>
      <c r="AE43" s="120"/>
      <c r="AF43" s="120"/>
      <c r="AG43" s="120"/>
      <c r="AH43" s="120"/>
    </row>
    <row r="44" ht="14.25" customHeight="1">
      <c r="A44" s="94"/>
      <c r="B44" s="67">
        <v>40.0</v>
      </c>
      <c r="C44" s="52"/>
      <c r="D44" s="67" t="s">
        <v>72</v>
      </c>
      <c r="E44" s="71" t="s">
        <v>73</v>
      </c>
      <c r="F44" s="28">
        <v>0.0</v>
      </c>
      <c r="G44" s="28">
        <v>0.0</v>
      </c>
      <c r="H44" s="28">
        <v>0.0</v>
      </c>
      <c r="I44" s="28">
        <v>6.0</v>
      </c>
      <c r="J44" s="28">
        <v>6.0</v>
      </c>
      <c r="K44" s="28">
        <v>7.0</v>
      </c>
      <c r="L44" s="123" t="str">
        <f t="shared" ref="L44:N44" si="40">IFERROR(F44/I44, 0)</f>
        <v>  -   </v>
      </c>
      <c r="M44" s="123" t="str">
        <f t="shared" si="40"/>
        <v>  -   </v>
      </c>
      <c r="N44" s="123" t="str">
        <f t="shared" si="40"/>
        <v>  -   </v>
      </c>
      <c r="O44" s="94"/>
      <c r="P44" s="120"/>
      <c r="Q44" s="121"/>
      <c r="R44" s="120"/>
      <c r="S44" s="120"/>
      <c r="T44" s="120"/>
      <c r="U44" s="120"/>
      <c r="V44" s="120"/>
      <c r="W44" s="120"/>
      <c r="X44" s="124"/>
      <c r="Y44" s="124"/>
      <c r="Z44" s="124"/>
      <c r="AA44" s="120"/>
      <c r="AB44" s="120"/>
      <c r="AC44" s="120"/>
      <c r="AD44" s="120"/>
      <c r="AE44" s="120"/>
      <c r="AF44" s="120"/>
      <c r="AG44" s="120"/>
      <c r="AH44" s="120"/>
    </row>
    <row r="45" ht="14.25" customHeight="1">
      <c r="A45" s="94"/>
      <c r="B45" s="67">
        <v>41.0</v>
      </c>
      <c r="C45" s="52"/>
      <c r="D45" s="67" t="s">
        <v>70</v>
      </c>
      <c r="E45" s="71" t="s">
        <v>71</v>
      </c>
      <c r="F45" s="118">
        <v>1.0</v>
      </c>
      <c r="G45" s="118">
        <v>1.0</v>
      </c>
      <c r="H45" s="118">
        <v>1.0</v>
      </c>
      <c r="I45" s="118">
        <v>9.0</v>
      </c>
      <c r="J45" s="118">
        <v>9.0</v>
      </c>
      <c r="K45" s="118">
        <v>11.0</v>
      </c>
      <c r="L45" s="123" t="str">
        <f t="shared" ref="L45:N45" si="41">IFERROR(F45/I45, 0)</f>
        <v>  0.11111 </v>
      </c>
      <c r="M45" s="123" t="str">
        <f t="shared" si="41"/>
        <v>  0.11111 </v>
      </c>
      <c r="N45" s="123" t="str">
        <f t="shared" si="41"/>
        <v>  0.09091 </v>
      </c>
      <c r="O45" s="94"/>
      <c r="P45" s="120"/>
      <c r="Q45" s="121"/>
      <c r="R45" s="120"/>
      <c r="S45" s="120"/>
      <c r="T45" s="120"/>
      <c r="U45" s="120"/>
      <c r="V45" s="120"/>
      <c r="W45" s="120"/>
      <c r="X45" s="124"/>
      <c r="Y45" s="124"/>
      <c r="Z45" s="124"/>
      <c r="AA45" s="120"/>
      <c r="AB45" s="120"/>
      <c r="AC45" s="120"/>
      <c r="AD45" s="120"/>
      <c r="AE45" s="120"/>
      <c r="AF45" s="120"/>
      <c r="AG45" s="120"/>
      <c r="AH45" s="120"/>
    </row>
    <row r="46" ht="14.25" customHeight="1">
      <c r="A46" s="94"/>
      <c r="B46" s="67">
        <v>42.0</v>
      </c>
      <c r="C46" s="52"/>
      <c r="D46" s="67" t="s">
        <v>202</v>
      </c>
      <c r="E46" s="71" t="s">
        <v>203</v>
      </c>
      <c r="F46" s="28">
        <v>1.0</v>
      </c>
      <c r="G46" s="28">
        <v>1.0</v>
      </c>
      <c r="H46" s="28">
        <v>1.0</v>
      </c>
      <c r="I46" s="28">
        <v>5.0</v>
      </c>
      <c r="J46" s="28">
        <v>5.0</v>
      </c>
      <c r="K46" s="28">
        <v>5.0</v>
      </c>
      <c r="L46" s="123" t="str">
        <f t="shared" ref="L46:N46" si="42">IFERROR(F46/I46, 0)</f>
        <v>  0.20000 </v>
      </c>
      <c r="M46" s="123" t="str">
        <f t="shared" si="42"/>
        <v>  0.20000 </v>
      </c>
      <c r="N46" s="123" t="str">
        <f t="shared" si="42"/>
        <v>  0.20000 </v>
      </c>
      <c r="O46" s="94"/>
      <c r="P46" s="120"/>
      <c r="Q46" s="121"/>
      <c r="R46" s="120"/>
      <c r="S46" s="120"/>
      <c r="T46" s="120"/>
      <c r="U46" s="120"/>
      <c r="V46" s="120"/>
      <c r="W46" s="120"/>
      <c r="X46" s="124"/>
      <c r="Y46" s="124"/>
      <c r="Z46" s="124"/>
      <c r="AA46" s="120"/>
      <c r="AB46" s="120"/>
      <c r="AC46" s="120"/>
      <c r="AD46" s="120"/>
      <c r="AE46" s="120"/>
      <c r="AF46" s="120"/>
      <c r="AG46" s="120"/>
      <c r="AH46" s="120"/>
    </row>
    <row r="47" ht="14.25" customHeight="1">
      <c r="A47" s="94"/>
      <c r="B47" s="67">
        <v>43.0</v>
      </c>
      <c r="C47" s="52"/>
      <c r="D47" s="67" t="s">
        <v>206</v>
      </c>
      <c r="E47" s="71" t="s">
        <v>207</v>
      </c>
      <c r="F47" s="28">
        <v>0.0</v>
      </c>
      <c r="G47" s="28">
        <v>0.0</v>
      </c>
      <c r="H47" s="28">
        <v>1.0</v>
      </c>
      <c r="I47" s="118">
        <v>6.0</v>
      </c>
      <c r="J47" s="118">
        <v>6.0</v>
      </c>
      <c r="K47" s="118">
        <v>6.0</v>
      </c>
      <c r="L47" s="123" t="str">
        <f t="shared" ref="L47:N47" si="43">IFERROR(F47/I47, 0)</f>
        <v>  -   </v>
      </c>
      <c r="M47" s="123" t="str">
        <f t="shared" si="43"/>
        <v>  -   </v>
      </c>
      <c r="N47" s="123" t="str">
        <f t="shared" si="43"/>
        <v>  0.16667 </v>
      </c>
      <c r="O47" s="94"/>
      <c r="P47" s="120"/>
      <c r="Q47" s="121"/>
      <c r="R47" s="120"/>
      <c r="S47" s="120"/>
      <c r="T47" s="120"/>
      <c r="U47" s="120"/>
      <c r="V47" s="120"/>
      <c r="W47" s="120"/>
      <c r="X47" s="124"/>
      <c r="Y47" s="124"/>
      <c r="Z47" s="124"/>
      <c r="AA47" s="120"/>
      <c r="AB47" s="120"/>
      <c r="AC47" s="120"/>
      <c r="AD47" s="120"/>
      <c r="AE47" s="120"/>
      <c r="AF47" s="120"/>
      <c r="AG47" s="120"/>
      <c r="AH47" s="120"/>
    </row>
    <row r="48" ht="14.25" customHeight="1">
      <c r="A48" s="94"/>
      <c r="B48" s="67">
        <v>44.0</v>
      </c>
      <c r="C48" s="52"/>
      <c r="D48" s="67" t="s">
        <v>76</v>
      </c>
      <c r="E48" s="71" t="s">
        <v>77</v>
      </c>
      <c r="F48" s="28">
        <v>0.0</v>
      </c>
      <c r="G48" s="28">
        <v>0.0</v>
      </c>
      <c r="H48" s="28">
        <v>0.0</v>
      </c>
      <c r="I48" s="28">
        <v>3.0</v>
      </c>
      <c r="J48" s="28">
        <v>3.0</v>
      </c>
      <c r="K48" s="28">
        <v>2.0</v>
      </c>
      <c r="L48" s="123" t="str">
        <f t="shared" ref="L48:N48" si="44">IFERROR(F48/I48, 0)</f>
        <v>  -   </v>
      </c>
      <c r="M48" s="123" t="str">
        <f t="shared" si="44"/>
        <v>  -   </v>
      </c>
      <c r="N48" s="123" t="str">
        <f t="shared" si="44"/>
        <v>  -   </v>
      </c>
      <c r="O48" s="94"/>
      <c r="P48" s="120"/>
      <c r="Q48" s="121"/>
      <c r="R48" s="120"/>
      <c r="S48" s="120"/>
      <c r="T48" s="120"/>
      <c r="U48" s="120"/>
      <c r="V48" s="120"/>
      <c r="W48" s="120"/>
      <c r="X48" s="124"/>
      <c r="Y48" s="124"/>
      <c r="Z48" s="124"/>
      <c r="AA48" s="120"/>
      <c r="AB48" s="120"/>
      <c r="AC48" s="120"/>
      <c r="AD48" s="120"/>
      <c r="AE48" s="120"/>
      <c r="AF48" s="120"/>
      <c r="AG48" s="120"/>
      <c r="AH48" s="120"/>
    </row>
    <row r="49" ht="14.25" customHeight="1">
      <c r="A49" s="94"/>
      <c r="B49" s="67">
        <v>45.0</v>
      </c>
      <c r="C49" s="52"/>
      <c r="D49" s="67" t="s">
        <v>204</v>
      </c>
      <c r="E49" s="71" t="s">
        <v>205</v>
      </c>
      <c r="F49" s="28">
        <v>0.0</v>
      </c>
      <c r="G49" s="28">
        <v>0.0</v>
      </c>
      <c r="H49" s="28">
        <v>0.0</v>
      </c>
      <c r="I49" s="28">
        <v>3.0</v>
      </c>
      <c r="J49" s="28">
        <v>3.0</v>
      </c>
      <c r="K49" s="28">
        <v>3.0</v>
      </c>
      <c r="L49" s="123" t="str">
        <f t="shared" ref="L49:N49" si="45">IFERROR(F49/I49, 0)</f>
        <v>  -   </v>
      </c>
      <c r="M49" s="123" t="str">
        <f t="shared" si="45"/>
        <v>  -   </v>
      </c>
      <c r="N49" s="123" t="str">
        <f t="shared" si="45"/>
        <v>  -   </v>
      </c>
      <c r="O49" s="94"/>
      <c r="P49" s="120"/>
      <c r="Q49" s="121"/>
      <c r="R49" s="120"/>
      <c r="S49" s="120"/>
      <c r="T49" s="120"/>
      <c r="U49" s="120"/>
      <c r="V49" s="120"/>
      <c r="W49" s="120"/>
      <c r="X49" s="124"/>
      <c r="Y49" s="124"/>
      <c r="Z49" s="124"/>
      <c r="AA49" s="120"/>
      <c r="AB49" s="120"/>
      <c r="AC49" s="120"/>
      <c r="AD49" s="120"/>
      <c r="AE49" s="120"/>
      <c r="AF49" s="120"/>
      <c r="AG49" s="120"/>
      <c r="AH49" s="120"/>
    </row>
    <row r="50" ht="14.25" customHeight="1">
      <c r="A50" s="94"/>
      <c r="B50" s="67">
        <v>46.0</v>
      </c>
      <c r="C50" s="52"/>
      <c r="D50" s="67" t="s">
        <v>82</v>
      </c>
      <c r="E50" s="71" t="s">
        <v>83</v>
      </c>
      <c r="F50" s="28">
        <v>1.0</v>
      </c>
      <c r="G50" s="28">
        <v>1.0</v>
      </c>
      <c r="H50" s="28">
        <v>1.0</v>
      </c>
      <c r="I50" s="28">
        <v>5.0</v>
      </c>
      <c r="J50" s="28">
        <v>5.0</v>
      </c>
      <c r="K50" s="28">
        <v>5.0</v>
      </c>
      <c r="L50" s="123" t="str">
        <f t="shared" ref="L50:N50" si="46">IFERROR(F50/I50, 0)</f>
        <v>  0.20000 </v>
      </c>
      <c r="M50" s="123" t="str">
        <f t="shared" si="46"/>
        <v>  0.20000 </v>
      </c>
      <c r="N50" s="123" t="str">
        <f t="shared" si="46"/>
        <v>  0.20000 </v>
      </c>
      <c r="O50" s="94"/>
      <c r="P50" s="120"/>
      <c r="Q50" s="121"/>
      <c r="R50" s="120"/>
      <c r="S50" s="120"/>
      <c r="T50" s="120"/>
      <c r="U50" s="120"/>
      <c r="V50" s="120"/>
      <c r="W50" s="120"/>
      <c r="X50" s="124"/>
      <c r="Y50" s="124"/>
      <c r="Z50" s="124"/>
      <c r="AA50" s="120"/>
      <c r="AB50" s="120"/>
      <c r="AC50" s="120"/>
      <c r="AD50" s="120"/>
      <c r="AE50" s="120"/>
      <c r="AF50" s="120"/>
      <c r="AG50" s="120"/>
      <c r="AH50" s="120"/>
    </row>
    <row r="51" ht="14.25" customHeight="1">
      <c r="A51" s="94"/>
      <c r="B51" s="67">
        <v>47.0</v>
      </c>
      <c r="C51" s="52"/>
      <c r="D51" s="67" t="s">
        <v>84</v>
      </c>
      <c r="E51" s="71" t="s">
        <v>85</v>
      </c>
      <c r="F51" s="28">
        <v>1.0</v>
      </c>
      <c r="G51" s="28">
        <v>0.0</v>
      </c>
      <c r="H51" s="28">
        <v>0.0</v>
      </c>
      <c r="I51" s="28">
        <v>7.0</v>
      </c>
      <c r="J51" s="28">
        <v>7.0</v>
      </c>
      <c r="K51" s="28">
        <v>8.0</v>
      </c>
      <c r="L51" s="123" t="str">
        <f t="shared" ref="L51:N51" si="47">IFERROR(F51/I51, 0)</f>
        <v>  0.14286 </v>
      </c>
      <c r="M51" s="123" t="str">
        <f t="shared" si="47"/>
        <v>  -   </v>
      </c>
      <c r="N51" s="123" t="str">
        <f t="shared" si="47"/>
        <v>  -   </v>
      </c>
      <c r="O51" s="94"/>
      <c r="P51" s="120"/>
      <c r="Q51" s="121"/>
      <c r="R51" s="120"/>
      <c r="S51" s="120"/>
      <c r="T51" s="120"/>
      <c r="U51" s="120"/>
      <c r="V51" s="120"/>
      <c r="W51" s="120"/>
      <c r="X51" s="124"/>
      <c r="Y51" s="124"/>
      <c r="Z51" s="124"/>
      <c r="AA51" s="120"/>
      <c r="AB51" s="120"/>
      <c r="AC51" s="120"/>
      <c r="AD51" s="120"/>
      <c r="AE51" s="120"/>
      <c r="AF51" s="120"/>
      <c r="AG51" s="120"/>
      <c r="AH51" s="120"/>
    </row>
    <row r="52" ht="14.25" customHeight="1">
      <c r="A52" s="94"/>
      <c r="B52" s="67">
        <v>48.0</v>
      </c>
      <c r="C52" s="52"/>
      <c r="D52" s="67" t="s">
        <v>212</v>
      </c>
      <c r="E52" s="71" t="s">
        <v>213</v>
      </c>
      <c r="F52" s="28">
        <v>1.0</v>
      </c>
      <c r="G52" s="28">
        <v>1.0</v>
      </c>
      <c r="H52" s="28">
        <v>1.0</v>
      </c>
      <c r="I52" s="28">
        <v>3.0</v>
      </c>
      <c r="J52" s="28">
        <v>3.0</v>
      </c>
      <c r="K52" s="28">
        <v>3.0</v>
      </c>
      <c r="L52" s="123" t="str">
        <f t="shared" ref="L52:N52" si="48">IFERROR(F52/I52, 0)</f>
        <v>  0.33333 </v>
      </c>
      <c r="M52" s="123" t="str">
        <f t="shared" si="48"/>
        <v>  0.33333 </v>
      </c>
      <c r="N52" s="123" t="str">
        <f t="shared" si="48"/>
        <v>  0.33333 </v>
      </c>
      <c r="O52" s="94"/>
      <c r="P52" s="120"/>
      <c r="Q52" s="121"/>
      <c r="R52" s="120"/>
      <c r="S52" s="120"/>
      <c r="T52" s="120"/>
      <c r="U52" s="120"/>
      <c r="V52" s="120"/>
      <c r="W52" s="120"/>
      <c r="X52" s="124"/>
      <c r="Y52" s="124"/>
      <c r="Z52" s="124"/>
      <c r="AA52" s="120"/>
      <c r="AB52" s="120"/>
      <c r="AC52" s="120"/>
      <c r="AD52" s="120"/>
      <c r="AE52" s="120"/>
      <c r="AF52" s="120"/>
      <c r="AG52" s="120"/>
      <c r="AH52" s="120"/>
    </row>
    <row r="53" ht="14.25" customHeight="1">
      <c r="A53" s="94"/>
      <c r="B53" s="67">
        <v>49.0</v>
      </c>
      <c r="C53" s="52"/>
      <c r="D53" s="67" t="s">
        <v>88</v>
      </c>
      <c r="E53" s="71" t="s">
        <v>89</v>
      </c>
      <c r="F53" s="28">
        <v>1.0</v>
      </c>
      <c r="G53" s="28">
        <v>1.0</v>
      </c>
      <c r="H53" s="28">
        <v>1.0</v>
      </c>
      <c r="I53" s="28">
        <v>4.0</v>
      </c>
      <c r="J53" s="28">
        <v>4.0</v>
      </c>
      <c r="K53" s="28">
        <v>4.0</v>
      </c>
      <c r="L53" s="123" t="str">
        <f t="shared" ref="L53:N53" si="49">IFERROR(F53/I53, 0)</f>
        <v>  0.25000 </v>
      </c>
      <c r="M53" s="123" t="str">
        <f t="shared" si="49"/>
        <v>  0.25000 </v>
      </c>
      <c r="N53" s="123" t="str">
        <f t="shared" si="49"/>
        <v>  0.25000 </v>
      </c>
      <c r="O53" s="94"/>
      <c r="P53" s="120"/>
      <c r="Q53" s="121"/>
      <c r="R53" s="120"/>
      <c r="S53" s="120"/>
      <c r="T53" s="120"/>
      <c r="U53" s="120"/>
      <c r="V53" s="120"/>
      <c r="W53" s="120"/>
      <c r="X53" s="124"/>
      <c r="Y53" s="124"/>
      <c r="Z53" s="124"/>
      <c r="AA53" s="120"/>
      <c r="AB53" s="120"/>
      <c r="AC53" s="120"/>
      <c r="AD53" s="120"/>
      <c r="AE53" s="120"/>
      <c r="AF53" s="120"/>
      <c r="AG53" s="120"/>
      <c r="AH53" s="120"/>
    </row>
    <row r="54" ht="14.25" customHeight="1">
      <c r="A54" s="94"/>
      <c r="B54" s="67">
        <v>50.0</v>
      </c>
      <c r="C54" s="52"/>
      <c r="D54" s="67" t="s">
        <v>86</v>
      </c>
      <c r="E54" s="71" t="s">
        <v>87</v>
      </c>
      <c r="F54" s="28">
        <v>0.0</v>
      </c>
      <c r="G54" s="28">
        <v>0.0</v>
      </c>
      <c r="H54" s="28">
        <v>0.0</v>
      </c>
      <c r="I54" s="28">
        <v>3.0</v>
      </c>
      <c r="J54" s="28">
        <v>3.0</v>
      </c>
      <c r="K54" s="28">
        <v>3.0</v>
      </c>
      <c r="L54" s="123" t="str">
        <f t="shared" ref="L54:N54" si="50">IFERROR(F54/I54, 0)</f>
        <v>  -   </v>
      </c>
      <c r="M54" s="123" t="str">
        <f t="shared" si="50"/>
        <v>  -   </v>
      </c>
      <c r="N54" s="123" t="str">
        <f t="shared" si="50"/>
        <v>  -   </v>
      </c>
      <c r="O54" s="94"/>
      <c r="P54" s="120"/>
      <c r="Q54" s="121"/>
      <c r="R54" s="120"/>
      <c r="S54" s="120"/>
      <c r="T54" s="120"/>
      <c r="U54" s="120"/>
      <c r="V54" s="120"/>
      <c r="W54" s="120"/>
      <c r="X54" s="124"/>
      <c r="Y54" s="124"/>
      <c r="Z54" s="124"/>
      <c r="AA54" s="120"/>
      <c r="AB54" s="120"/>
      <c r="AC54" s="120"/>
      <c r="AD54" s="120"/>
      <c r="AE54" s="120"/>
      <c r="AF54" s="120"/>
      <c r="AG54" s="120"/>
      <c r="AH54" s="120"/>
    </row>
    <row r="55" ht="14.25" customHeight="1">
      <c r="A55" s="94"/>
      <c r="B55" s="67">
        <v>51.0</v>
      </c>
      <c r="C55" s="52"/>
      <c r="D55" s="67" t="s">
        <v>226</v>
      </c>
      <c r="E55" s="71" t="s">
        <v>227</v>
      </c>
      <c r="F55" s="28">
        <v>0.0</v>
      </c>
      <c r="G55" s="28">
        <v>0.0</v>
      </c>
      <c r="H55" s="28">
        <v>0.0</v>
      </c>
      <c r="I55" s="28">
        <v>4.0</v>
      </c>
      <c r="J55" s="28">
        <v>4.0</v>
      </c>
      <c r="K55" s="28">
        <v>4.0</v>
      </c>
      <c r="L55" s="123" t="str">
        <f t="shared" ref="L55:N55" si="51">IFERROR(F55/I55, 0)</f>
        <v>  -   </v>
      </c>
      <c r="M55" s="123" t="str">
        <f t="shared" si="51"/>
        <v>  -   </v>
      </c>
      <c r="N55" s="123" t="str">
        <f t="shared" si="51"/>
        <v>  -   </v>
      </c>
      <c r="O55" s="94"/>
      <c r="P55" s="120"/>
      <c r="Q55" s="121"/>
      <c r="R55" s="120"/>
      <c r="S55" s="120"/>
      <c r="T55" s="120"/>
      <c r="U55" s="120"/>
      <c r="V55" s="120"/>
      <c r="W55" s="120"/>
      <c r="X55" s="124"/>
      <c r="Y55" s="124"/>
      <c r="Z55" s="124"/>
      <c r="AA55" s="120"/>
      <c r="AB55" s="120"/>
      <c r="AC55" s="120"/>
      <c r="AD55" s="120"/>
      <c r="AE55" s="120"/>
      <c r="AF55" s="120"/>
      <c r="AG55" s="120"/>
      <c r="AH55" s="120"/>
    </row>
    <row r="56" ht="14.25" customHeight="1">
      <c r="A56" s="94"/>
      <c r="B56" s="67">
        <v>52.0</v>
      </c>
      <c r="C56" s="52"/>
      <c r="D56" s="67" t="s">
        <v>90</v>
      </c>
      <c r="E56" s="71" t="s">
        <v>91</v>
      </c>
      <c r="F56" s="28">
        <v>6.0</v>
      </c>
      <c r="G56" s="28">
        <v>5.0</v>
      </c>
      <c r="H56" s="28">
        <v>2.0</v>
      </c>
      <c r="I56" s="28">
        <v>12.0</v>
      </c>
      <c r="J56" s="28">
        <v>11.0</v>
      </c>
      <c r="K56" s="28">
        <v>6.0</v>
      </c>
      <c r="L56" s="123" t="str">
        <f t="shared" ref="L56:N56" si="52">IFERROR(F56/I56, 0)</f>
        <v>  0.50000 </v>
      </c>
      <c r="M56" s="123" t="str">
        <f t="shared" si="52"/>
        <v>  0.45455 </v>
      </c>
      <c r="N56" s="123" t="str">
        <f t="shared" si="52"/>
        <v>  0.33333 </v>
      </c>
      <c r="O56" s="94"/>
      <c r="P56" s="120"/>
      <c r="Q56" s="121"/>
      <c r="R56" s="120"/>
      <c r="S56" s="120"/>
      <c r="T56" s="120"/>
      <c r="U56" s="120"/>
      <c r="V56" s="120"/>
      <c r="W56" s="120"/>
      <c r="X56" s="124"/>
      <c r="Y56" s="124"/>
      <c r="Z56" s="124"/>
      <c r="AA56" s="120"/>
      <c r="AB56" s="120"/>
      <c r="AC56" s="120"/>
      <c r="AD56" s="120"/>
      <c r="AE56" s="120"/>
      <c r="AF56" s="120"/>
      <c r="AG56" s="120"/>
      <c r="AH56" s="120"/>
    </row>
    <row r="57" ht="14.25" customHeight="1">
      <c r="A57" s="94"/>
      <c r="B57" s="67">
        <v>53.0</v>
      </c>
      <c r="C57" s="52"/>
      <c r="D57" s="67" t="s">
        <v>92</v>
      </c>
      <c r="E57" s="71" t="s">
        <v>93</v>
      </c>
      <c r="F57" s="28">
        <v>1.0</v>
      </c>
      <c r="G57" s="28">
        <v>1.0</v>
      </c>
      <c r="H57" s="28">
        <v>1.0</v>
      </c>
      <c r="I57" s="28">
        <v>5.0</v>
      </c>
      <c r="J57" s="28">
        <v>5.0</v>
      </c>
      <c r="K57" s="28">
        <v>5.0</v>
      </c>
      <c r="L57" s="123" t="str">
        <f t="shared" ref="L57:N57" si="53">IFERROR(F57/I57, 0)</f>
        <v>  0.20000 </v>
      </c>
      <c r="M57" s="123" t="str">
        <f t="shared" si="53"/>
        <v>  0.20000 </v>
      </c>
      <c r="N57" s="123" t="str">
        <f t="shared" si="53"/>
        <v>  0.20000 </v>
      </c>
      <c r="O57" s="94"/>
      <c r="P57" s="120"/>
      <c r="Q57" s="121"/>
      <c r="R57" s="120"/>
      <c r="S57" s="120"/>
      <c r="T57" s="120"/>
      <c r="U57" s="120"/>
      <c r="V57" s="120"/>
      <c r="W57" s="120"/>
      <c r="X57" s="124"/>
      <c r="Y57" s="124"/>
      <c r="Z57" s="124"/>
      <c r="AA57" s="120"/>
      <c r="AB57" s="120"/>
      <c r="AC57" s="120"/>
      <c r="AD57" s="120"/>
      <c r="AE57" s="120"/>
      <c r="AF57" s="120"/>
      <c r="AG57" s="120"/>
      <c r="AH57" s="120"/>
    </row>
    <row r="58" ht="14.25" customHeight="1">
      <c r="A58" s="94"/>
      <c r="B58" s="67">
        <v>54.0</v>
      </c>
      <c r="C58" s="46"/>
      <c r="D58" s="67" t="s">
        <v>94</v>
      </c>
      <c r="E58" s="71" t="s">
        <v>95</v>
      </c>
      <c r="F58" s="28">
        <v>0.0</v>
      </c>
      <c r="G58" s="28">
        <v>0.0</v>
      </c>
      <c r="H58" s="28">
        <v>0.0</v>
      </c>
      <c r="I58" s="28">
        <v>5.0</v>
      </c>
      <c r="J58" s="28">
        <v>5.0</v>
      </c>
      <c r="K58" s="28">
        <v>4.0</v>
      </c>
      <c r="L58" s="123" t="str">
        <f t="shared" ref="L58:N58" si="54">IFERROR(F58/I58, 0)</f>
        <v>  -   </v>
      </c>
      <c r="M58" s="123" t="str">
        <f t="shared" si="54"/>
        <v>  -   </v>
      </c>
      <c r="N58" s="123" t="str">
        <f t="shared" si="54"/>
        <v>  -   </v>
      </c>
      <c r="O58" s="94"/>
      <c r="P58" s="120"/>
      <c r="Q58" s="121"/>
      <c r="R58" s="120"/>
      <c r="S58" s="120"/>
      <c r="T58" s="120"/>
      <c r="U58" s="120"/>
      <c r="V58" s="120"/>
      <c r="W58" s="120"/>
      <c r="X58" s="124"/>
      <c r="Y58" s="124"/>
      <c r="Z58" s="124"/>
      <c r="AA58" s="120"/>
      <c r="AB58" s="120"/>
      <c r="AC58" s="120"/>
      <c r="AD58" s="120"/>
      <c r="AE58" s="120"/>
      <c r="AF58" s="120"/>
      <c r="AG58" s="120"/>
      <c r="AH58" s="120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B3:E4"/>
    <mergeCell ref="F3:H3"/>
    <mergeCell ref="I3:K3"/>
    <mergeCell ref="L3:N3"/>
    <mergeCell ref="C5:C58"/>
  </mergeCells>
  <printOptions/>
  <pageMargins bottom="0.75" footer="0.0" header="0.0" left="0.7" right="0.7" top="0.75"/>
  <pageSetup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14.14"/>
    <col customWidth="1" min="4" max="4" width="8.71"/>
    <col customWidth="1" min="5" max="5" width="29.71"/>
    <col customWidth="1" min="6" max="6" width="15.0"/>
    <col customWidth="1" min="7" max="8" width="14.57"/>
    <col customWidth="1" min="9" max="9" width="22.71"/>
    <col customWidth="1" min="10" max="11" width="16.71"/>
    <col customWidth="1" min="12" max="14" width="12.14"/>
    <col customWidth="1" min="15" max="16" width="8.71"/>
  </cols>
  <sheetData>
    <row r="1" ht="14.25" customHeight="1">
      <c r="D1" s="38"/>
      <c r="L1" s="115"/>
      <c r="M1" s="115"/>
      <c r="N1" s="115"/>
    </row>
    <row r="2" ht="14.25" customHeight="1">
      <c r="B2" s="94"/>
      <c r="C2" s="94"/>
      <c r="D2" s="130"/>
      <c r="E2" s="94"/>
      <c r="L2" s="115"/>
      <c r="M2" s="115"/>
      <c r="N2" s="115"/>
    </row>
    <row r="3" ht="14.25" customHeight="1">
      <c r="B3" s="103" t="s">
        <v>324</v>
      </c>
      <c r="C3" s="104"/>
      <c r="D3" s="104"/>
      <c r="E3" s="42"/>
      <c r="F3" s="131" t="s">
        <v>325</v>
      </c>
      <c r="G3" s="91"/>
      <c r="H3" s="40"/>
      <c r="I3" s="131" t="s">
        <v>310</v>
      </c>
      <c r="J3" s="91"/>
      <c r="K3" s="40"/>
      <c r="L3" s="132" t="s">
        <v>326</v>
      </c>
      <c r="M3" s="91"/>
      <c r="N3" s="40"/>
    </row>
    <row r="4" ht="14.25" customHeight="1">
      <c r="B4" s="44"/>
      <c r="C4" s="108"/>
      <c r="D4" s="108"/>
      <c r="E4" s="45"/>
      <c r="F4" s="133">
        <v>2022.0</v>
      </c>
      <c r="G4" s="133">
        <v>2023.0</v>
      </c>
      <c r="H4" s="133">
        <v>2024.0</v>
      </c>
      <c r="I4" s="133">
        <v>2022.0</v>
      </c>
      <c r="J4" s="133">
        <v>2023.0</v>
      </c>
      <c r="K4" s="133">
        <v>2024.0</v>
      </c>
      <c r="L4" s="29">
        <v>2022.0</v>
      </c>
      <c r="M4" s="29">
        <v>2023.0</v>
      </c>
      <c r="N4" s="29">
        <v>2024.0</v>
      </c>
    </row>
    <row r="5" ht="14.25" customHeight="1">
      <c r="B5" s="67">
        <v>1.0</v>
      </c>
      <c r="C5" s="68" t="s">
        <v>14</v>
      </c>
      <c r="D5" s="69" t="s">
        <v>15</v>
      </c>
      <c r="E5" s="71" t="s">
        <v>16</v>
      </c>
      <c r="F5" s="134"/>
      <c r="G5" s="135">
        <v>0.0</v>
      </c>
      <c r="H5" s="135">
        <v>0.0</v>
      </c>
      <c r="I5" s="135">
        <v>1.924688333E9</v>
      </c>
      <c r="J5" s="135">
        <v>1.924688333E9</v>
      </c>
      <c r="K5" s="135">
        <v>1.924688333E9</v>
      </c>
      <c r="L5" s="123" t="str">
        <f t="shared" ref="L5:N5" si="1">F5/I5</f>
        <v>  -   </v>
      </c>
      <c r="M5" s="123" t="str">
        <f t="shared" si="1"/>
        <v>  -   </v>
      </c>
      <c r="N5" s="123" t="str">
        <f t="shared" si="1"/>
        <v>  -   </v>
      </c>
    </row>
    <row r="6" ht="14.25" customHeight="1">
      <c r="B6" s="67">
        <v>2.0</v>
      </c>
      <c r="C6" s="52"/>
      <c r="D6" s="69" t="s">
        <v>98</v>
      </c>
      <c r="E6" s="71" t="s">
        <v>99</v>
      </c>
      <c r="F6" s="135">
        <v>4000.0</v>
      </c>
      <c r="G6" s="135">
        <v>4000.0</v>
      </c>
      <c r="H6" s="135">
        <v>11900.0</v>
      </c>
      <c r="I6" s="135">
        <v>5.898968E8</v>
      </c>
      <c r="J6" s="135">
        <v>5.898968E8</v>
      </c>
      <c r="K6" s="135">
        <v>5.898968E8</v>
      </c>
      <c r="L6" s="123" t="str">
        <f t="shared" ref="L6:N6" si="2">F6/I6</f>
        <v>  0.00001 </v>
      </c>
      <c r="M6" s="123" t="str">
        <f t="shared" si="2"/>
        <v>  0.00001 </v>
      </c>
      <c r="N6" s="123" t="str">
        <f t="shared" si="2"/>
        <v>  0.00002 </v>
      </c>
    </row>
    <row r="7" ht="14.25" customHeight="1">
      <c r="B7" s="67">
        <v>3.0</v>
      </c>
      <c r="C7" s="52"/>
      <c r="D7" s="69" t="s">
        <v>78</v>
      </c>
      <c r="E7" s="71" t="s">
        <v>79</v>
      </c>
      <c r="F7" s="135">
        <v>6.512907E8</v>
      </c>
      <c r="G7" s="135">
        <v>5.955598E8</v>
      </c>
      <c r="H7" s="135">
        <v>5.611548E8</v>
      </c>
      <c r="I7" s="135">
        <v>4.15245017E10</v>
      </c>
      <c r="J7" s="135">
        <v>4.15245017E10</v>
      </c>
      <c r="K7" s="135">
        <v>4.15245017E10</v>
      </c>
      <c r="L7" s="123" t="str">
        <f t="shared" ref="L7:N7" si="3">F7/I7</f>
        <v>  0.01568 </v>
      </c>
      <c r="M7" s="123" t="str">
        <f t="shared" si="3"/>
        <v>  0.01434 </v>
      </c>
      <c r="N7" s="123" t="str">
        <f t="shared" si="3"/>
        <v>  0.01351 </v>
      </c>
    </row>
    <row r="8" ht="14.25" customHeight="1">
      <c r="B8" s="67">
        <v>4.0</v>
      </c>
      <c r="C8" s="52"/>
      <c r="D8" s="69" t="s">
        <v>104</v>
      </c>
      <c r="E8" s="71" t="s">
        <v>105</v>
      </c>
      <c r="F8" s="136">
        <v>3.29789727E8</v>
      </c>
      <c r="G8" s="137">
        <v>3.30989727E8</v>
      </c>
      <c r="H8" s="136">
        <v>3.30989727E8</v>
      </c>
      <c r="I8" s="135">
        <v>3.333204088E9</v>
      </c>
      <c r="J8" s="137">
        <v>3.354175E9</v>
      </c>
      <c r="K8" s="137">
        <v>3.354175E9</v>
      </c>
      <c r="L8" s="123" t="str">
        <f t="shared" ref="L8:N8" si="4">F8/I8</f>
        <v>  0.09894 </v>
      </c>
      <c r="M8" s="123" t="str">
        <f t="shared" si="4"/>
        <v>  0.09868 </v>
      </c>
      <c r="N8" s="123" t="str">
        <f t="shared" si="4"/>
        <v>  0.09868 </v>
      </c>
    </row>
    <row r="9" ht="14.25" customHeight="1">
      <c r="B9" s="67">
        <v>5.0</v>
      </c>
      <c r="C9" s="52"/>
      <c r="D9" s="69" t="s">
        <v>18</v>
      </c>
      <c r="E9" s="71" t="s">
        <v>19</v>
      </c>
      <c r="F9" s="138">
        <v>2748900.0</v>
      </c>
      <c r="G9" s="138">
        <v>3232900.0</v>
      </c>
      <c r="H9" s="135">
        <v>3058900.0</v>
      </c>
      <c r="I9" s="138">
        <v>3.0E9</v>
      </c>
      <c r="J9" s="138">
        <v>3.0E9</v>
      </c>
      <c r="K9" s="135">
        <v>3.0E9</v>
      </c>
      <c r="L9" s="123" t="str">
        <f t="shared" ref="L9:N9" si="5">F9/I9</f>
        <v>  0.00092 </v>
      </c>
      <c r="M9" s="123" t="str">
        <f t="shared" si="5"/>
        <v>  0.00108 </v>
      </c>
      <c r="N9" s="123" t="str">
        <f t="shared" si="5"/>
        <v>  0.00102 </v>
      </c>
    </row>
    <row r="10" ht="14.25" customHeight="1">
      <c r="B10" s="67">
        <v>6.0</v>
      </c>
      <c r="C10" s="52"/>
      <c r="D10" s="69" t="s">
        <v>108</v>
      </c>
      <c r="E10" s="71" t="s">
        <v>109</v>
      </c>
      <c r="F10" s="135">
        <v>5.075E7</v>
      </c>
      <c r="G10" s="135">
        <v>8.94809E7</v>
      </c>
      <c r="H10" s="135">
        <v>8.94809E7</v>
      </c>
      <c r="I10" s="135">
        <v>5.885E9</v>
      </c>
      <c r="J10" s="135">
        <v>5.885E9</v>
      </c>
      <c r="K10" s="135">
        <v>5.885E9</v>
      </c>
      <c r="L10" s="123" t="str">
        <f t="shared" ref="L10:N10" si="6">F10/I10</f>
        <v>  0.00862 </v>
      </c>
      <c r="M10" s="123" t="str">
        <f t="shared" si="6"/>
        <v>  0.01520 </v>
      </c>
      <c r="N10" s="123" t="str">
        <f t="shared" si="6"/>
        <v>  0.01520 </v>
      </c>
    </row>
    <row r="11" ht="14.25" customHeight="1">
      <c r="B11" s="67">
        <v>7.0</v>
      </c>
      <c r="C11" s="52"/>
      <c r="D11" s="69" t="s">
        <v>222</v>
      </c>
      <c r="E11" s="71" t="s">
        <v>223</v>
      </c>
      <c r="F11" s="135">
        <v>0.0</v>
      </c>
      <c r="G11" s="135">
        <v>0.0</v>
      </c>
      <c r="H11" s="135">
        <v>0.0</v>
      </c>
      <c r="I11" s="135">
        <v>5.95E8</v>
      </c>
      <c r="J11" s="135">
        <v>5.95E8</v>
      </c>
      <c r="K11" s="135">
        <v>5.95E8</v>
      </c>
      <c r="L11" s="123" t="str">
        <f t="shared" ref="L11:N11" si="7">F11/I11</f>
        <v>  -   </v>
      </c>
      <c r="M11" s="123" t="str">
        <f t="shared" si="7"/>
        <v>  -   </v>
      </c>
      <c r="N11" s="123" t="str">
        <f t="shared" si="7"/>
        <v>  -   </v>
      </c>
    </row>
    <row r="12" ht="14.25" customHeight="1">
      <c r="B12" s="67">
        <v>8.0</v>
      </c>
      <c r="C12" s="52"/>
      <c r="D12" s="69" t="s">
        <v>74</v>
      </c>
      <c r="E12" s="71" t="s">
        <v>75</v>
      </c>
      <c r="F12" s="139">
        <v>1.050616E8</v>
      </c>
      <c r="G12" s="139">
        <v>1.253116E8</v>
      </c>
      <c r="H12" s="139">
        <v>1.253116E8</v>
      </c>
      <c r="I12" s="135">
        <v>1.19599876E10</v>
      </c>
      <c r="J12" s="135">
        <v>1.19599876E10</v>
      </c>
      <c r="K12" s="135">
        <v>1.19599876E10</v>
      </c>
      <c r="L12" s="123" t="str">
        <f t="shared" ref="L12:N12" si="8">F12/I12</f>
        <v>  0.00878 </v>
      </c>
      <c r="M12" s="123" t="str">
        <f t="shared" si="8"/>
        <v>  0.01048 </v>
      </c>
      <c r="N12" s="123" t="str">
        <f t="shared" si="8"/>
        <v>  0.01048 </v>
      </c>
    </row>
    <row r="13" ht="14.25" customHeight="1">
      <c r="B13" s="67">
        <v>9.0</v>
      </c>
      <c r="C13" s="52"/>
      <c r="D13" s="69" t="s">
        <v>28</v>
      </c>
      <c r="E13" s="71" t="s">
        <v>29</v>
      </c>
      <c r="F13" s="135">
        <v>6.070432E9</v>
      </c>
      <c r="G13" s="135">
        <v>5.9655621E9</v>
      </c>
      <c r="H13" s="135">
        <v>5.9574442E9</v>
      </c>
      <c r="I13" s="135">
        <v>7.934683E9</v>
      </c>
      <c r="J13" s="135">
        <v>7.934683E9</v>
      </c>
      <c r="K13" s="135">
        <v>7.934683E9</v>
      </c>
      <c r="L13" s="123" t="str">
        <f t="shared" ref="L13:N13" si="9">F13/I13</f>
        <v>  0.76505 </v>
      </c>
      <c r="M13" s="123" t="str">
        <f t="shared" si="9"/>
        <v>  0.75183 </v>
      </c>
      <c r="N13" s="123" t="str">
        <f t="shared" si="9"/>
        <v>  0.75081 </v>
      </c>
    </row>
    <row r="14" ht="14.25" customHeight="1">
      <c r="B14" s="67">
        <v>10.0</v>
      </c>
      <c r="C14" s="52"/>
      <c r="D14" s="69" t="s">
        <v>24</v>
      </c>
      <c r="E14" s="71" t="s">
        <v>25</v>
      </c>
      <c r="F14" s="135">
        <v>0.0</v>
      </c>
      <c r="G14" s="135">
        <v>0.0</v>
      </c>
      <c r="H14" s="135">
        <v>0.0</v>
      </c>
      <c r="I14" s="135">
        <v>1.6398E10</v>
      </c>
      <c r="J14" s="135">
        <v>1.6398E10</v>
      </c>
      <c r="K14" s="135">
        <v>1.6398E10</v>
      </c>
      <c r="L14" s="123" t="str">
        <f t="shared" ref="L14:N14" si="10">F14/I14</f>
        <v>  -   </v>
      </c>
      <c r="M14" s="123" t="str">
        <f t="shared" si="10"/>
        <v>  -   </v>
      </c>
      <c r="N14" s="123" t="str">
        <f t="shared" si="10"/>
        <v>  -   </v>
      </c>
    </row>
    <row r="15" ht="14.25" customHeight="1">
      <c r="B15" s="67">
        <v>11.0</v>
      </c>
      <c r="C15" s="52"/>
      <c r="D15" s="69" t="s">
        <v>110</v>
      </c>
      <c r="E15" s="71" t="s">
        <v>111</v>
      </c>
      <c r="F15" s="138">
        <v>1.13502E7</v>
      </c>
      <c r="G15" s="138">
        <v>1.13502E7</v>
      </c>
      <c r="H15" s="138">
        <v>1.13502E7</v>
      </c>
      <c r="I15" s="138">
        <v>5.9572382787E10</v>
      </c>
      <c r="J15" s="138">
        <v>5.9572382787E10</v>
      </c>
      <c r="K15" s="138">
        <v>5.9572382787E10</v>
      </c>
      <c r="L15" s="123" t="str">
        <f t="shared" ref="L15:N15" si="11">F15/I15</f>
        <v>  0.00019 </v>
      </c>
      <c r="M15" s="123" t="str">
        <f t="shared" si="11"/>
        <v>  0.00019 </v>
      </c>
      <c r="N15" s="123" t="str">
        <f t="shared" si="11"/>
        <v>  0.00019 </v>
      </c>
    </row>
    <row r="16" ht="14.25" customHeight="1">
      <c r="B16" s="67">
        <v>12.0</v>
      </c>
      <c r="C16" s="52"/>
      <c r="D16" s="69" t="s">
        <v>26</v>
      </c>
      <c r="E16" s="71" t="s">
        <v>27</v>
      </c>
      <c r="F16" s="135">
        <v>0.0</v>
      </c>
      <c r="G16" s="135">
        <v>0.0</v>
      </c>
      <c r="H16" s="135">
        <v>0.0</v>
      </c>
      <c r="I16" s="135">
        <v>2.05E9</v>
      </c>
      <c r="J16" s="135">
        <v>2.05E9</v>
      </c>
      <c r="K16" s="135">
        <v>2.05E9</v>
      </c>
      <c r="L16" s="123" t="str">
        <f t="shared" ref="L16:N16" si="12">F16/I16</f>
        <v>  -   </v>
      </c>
      <c r="M16" s="123" t="str">
        <f t="shared" si="12"/>
        <v>  -   </v>
      </c>
      <c r="N16" s="123" t="str">
        <f t="shared" si="12"/>
        <v>  -   </v>
      </c>
    </row>
    <row r="17" ht="14.25" customHeight="1">
      <c r="B17" s="67">
        <v>13.0</v>
      </c>
      <c r="C17" s="52"/>
      <c r="D17" s="69" t="s">
        <v>30</v>
      </c>
      <c r="E17" s="71" t="s">
        <v>31</v>
      </c>
      <c r="F17" s="135">
        <v>0.0</v>
      </c>
      <c r="G17" s="135">
        <v>0.0</v>
      </c>
      <c r="H17" s="135">
        <v>0.0</v>
      </c>
      <c r="I17" s="135">
        <v>8.0065905E8</v>
      </c>
      <c r="J17" s="135">
        <v>8.0065905E8</v>
      </c>
      <c r="K17" s="135">
        <v>8.0065905E8</v>
      </c>
      <c r="L17" s="123" t="str">
        <f t="shared" ref="L17:N17" si="13">F17/I17</f>
        <v>  -   </v>
      </c>
      <c r="M17" s="123" t="str">
        <f t="shared" si="13"/>
        <v>  -   </v>
      </c>
      <c r="N17" s="123" t="str">
        <f t="shared" si="13"/>
        <v>  -   </v>
      </c>
    </row>
    <row r="18" ht="14.25" customHeight="1">
      <c r="B18" s="67">
        <v>14.0</v>
      </c>
      <c r="C18" s="52"/>
      <c r="D18" s="69" t="s">
        <v>120</v>
      </c>
      <c r="E18" s="71" t="s">
        <v>121</v>
      </c>
      <c r="F18" s="135">
        <v>3.752768286E9</v>
      </c>
      <c r="G18" s="135">
        <v>3.752768286E9</v>
      </c>
      <c r="H18" s="135">
        <v>3.306889113E9</v>
      </c>
      <c r="I18" s="135">
        <v>9.468359E9</v>
      </c>
      <c r="J18" s="135">
        <v>9.468359E9</v>
      </c>
      <c r="K18" s="135">
        <v>9.468359E9</v>
      </c>
      <c r="L18" s="123" t="str">
        <f t="shared" ref="L18:N18" si="14">F18/I18</f>
        <v>  0.39635 </v>
      </c>
      <c r="M18" s="123" t="str">
        <f t="shared" si="14"/>
        <v>  0.39635 </v>
      </c>
      <c r="N18" s="123" t="str">
        <f t="shared" si="14"/>
        <v>  0.34926 </v>
      </c>
    </row>
    <row r="19" ht="14.25" customHeight="1">
      <c r="B19" s="67">
        <v>15.0</v>
      </c>
      <c r="C19" s="52"/>
      <c r="D19" s="69" t="s">
        <v>118</v>
      </c>
      <c r="E19" s="71" t="s">
        <v>119</v>
      </c>
      <c r="F19" s="135">
        <v>0.0</v>
      </c>
      <c r="G19" s="135">
        <v>0.0</v>
      </c>
      <c r="H19" s="135">
        <v>0.0</v>
      </c>
      <c r="I19" s="135">
        <v>1.8571355E9</v>
      </c>
      <c r="J19" s="135">
        <v>1.8571355E9</v>
      </c>
      <c r="K19" s="135">
        <v>1.8571355E9</v>
      </c>
      <c r="L19" s="123" t="str">
        <f t="shared" ref="L19:N19" si="15">F19/I19</f>
        <v>  -   </v>
      </c>
      <c r="M19" s="123" t="str">
        <f t="shared" si="15"/>
        <v>  -   </v>
      </c>
      <c r="N19" s="123" t="str">
        <f t="shared" si="15"/>
        <v>  -   </v>
      </c>
    </row>
    <row r="20" ht="14.25" customHeight="1">
      <c r="B20" s="67">
        <v>16.0</v>
      </c>
      <c r="C20" s="52"/>
      <c r="D20" s="69" t="s">
        <v>32</v>
      </c>
      <c r="E20" s="71" t="s">
        <v>33</v>
      </c>
      <c r="F20" s="135">
        <v>9.727175E8</v>
      </c>
      <c r="G20" s="135">
        <v>1.548685E9</v>
      </c>
      <c r="H20" s="135">
        <v>1.548685E9</v>
      </c>
      <c r="I20" s="135">
        <v>1.05998424E10</v>
      </c>
      <c r="J20" s="135">
        <v>1.05998424E10</v>
      </c>
      <c r="K20" s="135">
        <v>1.05998424E10</v>
      </c>
      <c r="L20" s="123" t="str">
        <f t="shared" ref="L20:N20" si="16">F20/I20</f>
        <v>  0.09177 </v>
      </c>
      <c r="M20" s="123" t="str">
        <f t="shared" si="16"/>
        <v>  0.14610 </v>
      </c>
      <c r="N20" s="123" t="str">
        <f t="shared" si="16"/>
        <v>  0.14610 </v>
      </c>
    </row>
    <row r="21" ht="14.25" customHeight="1">
      <c r="B21" s="67">
        <v>17.0</v>
      </c>
      <c r="C21" s="52"/>
      <c r="D21" s="69" t="s">
        <v>126</v>
      </c>
      <c r="E21" s="71" t="s">
        <v>127</v>
      </c>
      <c r="F21" s="135">
        <v>4637868.0</v>
      </c>
      <c r="G21" s="135">
        <v>4637868.0</v>
      </c>
      <c r="H21" s="135">
        <v>4637868.0</v>
      </c>
      <c r="I21" s="135">
        <v>2.70864E9</v>
      </c>
      <c r="J21" s="135">
        <v>2.70864E9</v>
      </c>
      <c r="K21" s="135">
        <v>2.70864E9</v>
      </c>
      <c r="L21" s="123" t="str">
        <f t="shared" ref="L21:N21" si="17">F21/I21</f>
        <v>  0.00171 </v>
      </c>
      <c r="M21" s="123" t="str">
        <f t="shared" si="17"/>
        <v>  0.00171 </v>
      </c>
      <c r="N21" s="123" t="str">
        <f t="shared" si="17"/>
        <v>  0.00171 </v>
      </c>
    </row>
    <row r="22" ht="14.25" customHeight="1">
      <c r="B22" s="67">
        <v>18.0</v>
      </c>
      <c r="C22" s="52"/>
      <c r="D22" s="69" t="s">
        <v>134</v>
      </c>
      <c r="E22" s="71" t="s">
        <v>135</v>
      </c>
      <c r="F22" s="135">
        <v>0.0</v>
      </c>
      <c r="G22" s="135">
        <v>0.0</v>
      </c>
      <c r="H22" s="135">
        <v>0.0</v>
      </c>
      <c r="I22" s="135">
        <v>3.6294118E9</v>
      </c>
      <c r="J22" s="135">
        <v>3.6294118E9</v>
      </c>
      <c r="K22" s="135">
        <v>3.6294118E9</v>
      </c>
      <c r="L22" s="123" t="str">
        <f t="shared" ref="L22:N22" si="18">F22/I22</f>
        <v>  -   </v>
      </c>
      <c r="M22" s="123" t="str">
        <f t="shared" si="18"/>
        <v>  -   </v>
      </c>
      <c r="N22" s="123" t="str">
        <f t="shared" si="18"/>
        <v>  -   </v>
      </c>
    </row>
    <row r="23" ht="14.25" customHeight="1">
      <c r="B23" s="67">
        <v>19.0</v>
      </c>
      <c r="C23" s="52"/>
      <c r="D23" s="69" t="s">
        <v>234</v>
      </c>
      <c r="E23" s="71" t="s">
        <v>235</v>
      </c>
      <c r="F23" s="135">
        <v>0.0</v>
      </c>
      <c r="G23" s="135">
        <v>0.0</v>
      </c>
      <c r="H23" s="135">
        <v>0.0</v>
      </c>
      <c r="I23" s="135">
        <v>4.8E8</v>
      </c>
      <c r="J23" s="135">
        <v>4.8E8</v>
      </c>
      <c r="K23" s="135">
        <v>4.8E8</v>
      </c>
      <c r="L23" s="123" t="str">
        <f t="shared" ref="L23:N23" si="19">F23/I23</f>
        <v>  -   </v>
      </c>
      <c r="M23" s="123" t="str">
        <f t="shared" si="19"/>
        <v>  -   </v>
      </c>
      <c r="N23" s="123" t="str">
        <f t="shared" si="19"/>
        <v>  -   </v>
      </c>
    </row>
    <row r="24" ht="14.25" customHeight="1">
      <c r="B24" s="67">
        <v>20.0</v>
      </c>
      <c r="C24" s="52"/>
      <c r="D24" s="69" t="s">
        <v>40</v>
      </c>
      <c r="E24" s="71" t="s">
        <v>41</v>
      </c>
      <c r="F24" s="135">
        <v>1.294693E7</v>
      </c>
      <c r="G24" s="135">
        <v>1.294693E7</v>
      </c>
      <c r="H24" s="135">
        <v>1.294693E7</v>
      </c>
      <c r="I24" s="135">
        <v>1.924088E9</v>
      </c>
      <c r="J24" s="135">
        <v>1.924088E9</v>
      </c>
      <c r="K24" s="135">
        <v>1.924088E9</v>
      </c>
      <c r="L24" s="123" t="str">
        <f t="shared" ref="L24:N24" si="20">F24/I24</f>
        <v>  0.00673 </v>
      </c>
      <c r="M24" s="123" t="str">
        <f t="shared" si="20"/>
        <v>  0.00673 </v>
      </c>
      <c r="N24" s="123" t="str">
        <f t="shared" si="20"/>
        <v>  0.00673 </v>
      </c>
    </row>
    <row r="25" ht="14.25" customHeight="1">
      <c r="B25" s="67">
        <v>21.0</v>
      </c>
      <c r="C25" s="52"/>
      <c r="D25" s="69" t="s">
        <v>38</v>
      </c>
      <c r="E25" s="71" t="s">
        <v>39</v>
      </c>
      <c r="F25" s="135">
        <v>3.40582395E9</v>
      </c>
      <c r="G25" s="135">
        <v>6.31665966E9</v>
      </c>
      <c r="H25" s="135">
        <v>7.27890976E9</v>
      </c>
      <c r="I25" s="135">
        <v>3.6897901455E10</v>
      </c>
      <c r="J25" s="135">
        <v>3.6897901455E10</v>
      </c>
      <c r="K25" s="135">
        <v>3.6897901455E10</v>
      </c>
      <c r="L25" s="123" t="str">
        <f t="shared" ref="L25:N25" si="21">F25/I25</f>
        <v>  0.09230 </v>
      </c>
      <c r="M25" s="123" t="str">
        <f t="shared" si="21"/>
        <v>  0.17119 </v>
      </c>
      <c r="N25" s="123" t="str">
        <f t="shared" si="21"/>
        <v>  0.19727 </v>
      </c>
    </row>
    <row r="26" ht="14.25" customHeight="1">
      <c r="B26" s="67">
        <v>22.0</v>
      </c>
      <c r="C26" s="52"/>
      <c r="D26" s="69" t="s">
        <v>140</v>
      </c>
      <c r="E26" s="71" t="s">
        <v>141</v>
      </c>
      <c r="F26" s="138">
        <v>1.6014611E9</v>
      </c>
      <c r="G26" s="138">
        <v>1.6004611E9</v>
      </c>
      <c r="H26" s="138">
        <v>1.6004611E9</v>
      </c>
      <c r="I26" s="138">
        <v>6.0E9</v>
      </c>
      <c r="J26" s="138">
        <v>6.0E9</v>
      </c>
      <c r="K26" s="138">
        <v>6.0E9</v>
      </c>
      <c r="L26" s="123" t="str">
        <f t="shared" ref="L26:N26" si="22">F26/I26</f>
        <v>  0.26691 </v>
      </c>
      <c r="M26" s="123" t="str">
        <f t="shared" si="22"/>
        <v>  0.26674 </v>
      </c>
      <c r="N26" s="123" t="str">
        <f t="shared" si="22"/>
        <v>  0.26674 </v>
      </c>
    </row>
    <row r="27" ht="14.25" customHeight="1">
      <c r="B27" s="67">
        <v>23.0</v>
      </c>
      <c r="C27" s="52"/>
      <c r="D27" s="69" t="s">
        <v>42</v>
      </c>
      <c r="E27" s="71" t="s">
        <v>43</v>
      </c>
      <c r="F27" s="135">
        <v>0.0</v>
      </c>
      <c r="G27" s="135">
        <v>0.0</v>
      </c>
      <c r="H27" s="135">
        <v>0.0</v>
      </c>
      <c r="I27" s="135">
        <v>1.163180769E11</v>
      </c>
      <c r="J27" s="135">
        <v>1.163180769E11</v>
      </c>
      <c r="K27" s="135">
        <v>1.163180769E11</v>
      </c>
      <c r="L27" s="123" t="str">
        <f t="shared" ref="L27:N27" si="23">F27/I27</f>
        <v>  -   </v>
      </c>
      <c r="M27" s="123" t="str">
        <f t="shared" si="23"/>
        <v>  -   </v>
      </c>
      <c r="N27" s="123" t="str">
        <f t="shared" si="23"/>
        <v>  -   </v>
      </c>
    </row>
    <row r="28" ht="14.25" customHeight="1">
      <c r="B28" s="67">
        <v>24.0</v>
      </c>
      <c r="C28" s="52"/>
      <c r="D28" s="69" t="s">
        <v>44</v>
      </c>
      <c r="E28" s="71" t="s">
        <v>45</v>
      </c>
      <c r="F28" s="135">
        <v>0.0</v>
      </c>
      <c r="G28" s="135">
        <v>0.0</v>
      </c>
      <c r="H28" s="135">
        <v>0.0</v>
      </c>
      <c r="I28" s="135">
        <v>1.1661908E10</v>
      </c>
      <c r="J28" s="135">
        <v>1.1661908E10</v>
      </c>
      <c r="K28" s="135">
        <v>1.1661908E10</v>
      </c>
      <c r="L28" s="123" t="str">
        <f t="shared" ref="L28:N28" si="24">F28/I28</f>
        <v>  -   </v>
      </c>
      <c r="M28" s="123" t="str">
        <f t="shared" si="24"/>
        <v>  -   </v>
      </c>
      <c r="N28" s="123" t="str">
        <f t="shared" si="24"/>
        <v>  -   </v>
      </c>
    </row>
    <row r="29" ht="14.25" customHeight="1">
      <c r="B29" s="67">
        <v>25.0</v>
      </c>
      <c r="C29" s="52"/>
      <c r="D29" s="69" t="s">
        <v>46</v>
      </c>
      <c r="E29" s="71" t="s">
        <v>47</v>
      </c>
      <c r="F29" s="135">
        <v>1380020.0</v>
      </c>
      <c r="G29" s="135">
        <v>1380020.0</v>
      </c>
      <c r="H29" s="135">
        <v>1380020.0</v>
      </c>
      <c r="I29" s="135">
        <v>8.7804265E9</v>
      </c>
      <c r="J29" s="135">
        <v>8.7804265E9</v>
      </c>
      <c r="K29" s="135">
        <v>8.7804265E9</v>
      </c>
      <c r="L29" s="123" t="str">
        <f t="shared" ref="L29:N29" si="25">F29/I29</f>
        <v>  0.00016 </v>
      </c>
      <c r="M29" s="123" t="str">
        <f t="shared" si="25"/>
        <v>  0.00016 </v>
      </c>
      <c r="N29" s="123" t="str">
        <f t="shared" si="25"/>
        <v>  0.00016 </v>
      </c>
    </row>
    <row r="30" ht="14.25" customHeight="1">
      <c r="B30" s="67">
        <v>26.0</v>
      </c>
      <c r="C30" s="52"/>
      <c r="D30" s="69" t="s">
        <v>150</v>
      </c>
      <c r="E30" s="71" t="s">
        <v>151</v>
      </c>
      <c r="F30" s="135">
        <v>6.0066E8</v>
      </c>
      <c r="G30" s="135">
        <v>6.104281E8</v>
      </c>
      <c r="H30" s="135">
        <v>6.365601E8</v>
      </c>
      <c r="I30" s="135">
        <v>9.4072E8</v>
      </c>
      <c r="J30" s="135">
        <v>9.4072E8</v>
      </c>
      <c r="K30" s="135">
        <v>9.4072E8</v>
      </c>
      <c r="L30" s="123" t="str">
        <f t="shared" ref="L30:N30" si="26">F30/I30</f>
        <v>  0.63851 </v>
      </c>
      <c r="M30" s="123" t="str">
        <f t="shared" si="26"/>
        <v>  0.64889 </v>
      </c>
      <c r="N30" s="123" t="str">
        <f t="shared" si="26"/>
        <v>  0.67667 </v>
      </c>
    </row>
    <row r="31" ht="14.25" customHeight="1">
      <c r="B31" s="67">
        <v>27.0</v>
      </c>
      <c r="C31" s="52"/>
      <c r="D31" s="69" t="s">
        <v>48</v>
      </c>
      <c r="E31" s="71" t="s">
        <v>49</v>
      </c>
      <c r="F31" s="135">
        <v>2984800.0</v>
      </c>
      <c r="G31" s="135">
        <v>2751400.0</v>
      </c>
      <c r="H31" s="135">
        <v>2491400.0</v>
      </c>
      <c r="I31" s="135">
        <v>1.1726575201E10</v>
      </c>
      <c r="J31" s="135">
        <v>1.1726575201E10</v>
      </c>
      <c r="K31" s="135">
        <v>1.1726575201E10</v>
      </c>
      <c r="L31" s="123" t="str">
        <f t="shared" ref="L31:N31" si="27">F31/I31</f>
        <v>  0.00025 </v>
      </c>
      <c r="M31" s="123" t="str">
        <f t="shared" si="27"/>
        <v>  0.00023 </v>
      </c>
      <c r="N31" s="123" t="str">
        <f t="shared" si="27"/>
        <v>  0.00021 </v>
      </c>
    </row>
    <row r="32" ht="14.25" customHeight="1">
      <c r="B32" s="67">
        <v>28.0</v>
      </c>
      <c r="C32" s="52"/>
      <c r="D32" s="69" t="s">
        <v>178</v>
      </c>
      <c r="E32" s="71" t="s">
        <v>179</v>
      </c>
      <c r="F32" s="138">
        <v>0.0</v>
      </c>
      <c r="G32" s="138">
        <v>4805900.0</v>
      </c>
      <c r="H32" s="138">
        <v>7942400.0</v>
      </c>
      <c r="I32" s="138">
        <v>1.5E9</v>
      </c>
      <c r="J32" s="138">
        <v>1.5E9</v>
      </c>
      <c r="K32" s="138">
        <v>1.5E9</v>
      </c>
      <c r="L32" s="123" t="str">
        <f t="shared" ref="L32:N32" si="28">F32/I32</f>
        <v>  -   </v>
      </c>
      <c r="M32" s="123" t="str">
        <f t="shared" si="28"/>
        <v>  0.00320 </v>
      </c>
      <c r="N32" s="123" t="str">
        <f t="shared" si="28"/>
        <v>  0.00529 </v>
      </c>
    </row>
    <row r="33" ht="14.25" customHeight="1">
      <c r="B33" s="67">
        <v>29.0</v>
      </c>
      <c r="C33" s="52"/>
      <c r="D33" s="69" t="s">
        <v>162</v>
      </c>
      <c r="E33" s="71" t="s">
        <v>163</v>
      </c>
      <c r="F33" s="135">
        <v>2.2425407E7</v>
      </c>
      <c r="G33" s="135">
        <v>2.2425407E7</v>
      </c>
      <c r="H33" s="135">
        <v>2.2425407E7</v>
      </c>
      <c r="I33" s="135">
        <v>8.0E8</v>
      </c>
      <c r="J33" s="135">
        <v>8.0E8</v>
      </c>
      <c r="K33" s="135">
        <v>8.0E8</v>
      </c>
      <c r="L33" s="123" t="str">
        <f t="shared" ref="L33:N33" si="29">F33/I33</f>
        <v>  0.02803 </v>
      </c>
      <c r="M33" s="123" t="str">
        <f t="shared" si="29"/>
        <v>  0.02803 </v>
      </c>
      <c r="N33" s="123" t="str">
        <f t="shared" si="29"/>
        <v>  0.02803 </v>
      </c>
    </row>
    <row r="34" ht="14.25" customHeight="1">
      <c r="B34" s="67">
        <v>30.0</v>
      </c>
      <c r="C34" s="52"/>
      <c r="D34" s="69" t="s">
        <v>68</v>
      </c>
      <c r="E34" s="71" t="s">
        <v>69</v>
      </c>
      <c r="F34" s="140">
        <v>212000.0</v>
      </c>
      <c r="G34" s="140">
        <v>212000.0</v>
      </c>
      <c r="H34" s="140">
        <v>212000.0</v>
      </c>
      <c r="I34" s="140">
        <v>6.819963965E9</v>
      </c>
      <c r="J34" s="140">
        <v>6.819963965E9</v>
      </c>
      <c r="K34" s="140">
        <v>6.819963965E9</v>
      </c>
      <c r="L34" s="123" t="str">
        <f t="shared" ref="L34:N34" si="30">F34/I34</f>
        <v>  0.00003 </v>
      </c>
      <c r="M34" s="123" t="str">
        <f t="shared" si="30"/>
        <v>  0.00003 </v>
      </c>
      <c r="N34" s="123" t="str">
        <f t="shared" si="30"/>
        <v>  0.00003 </v>
      </c>
    </row>
    <row r="35" ht="14.25" customHeight="1">
      <c r="B35" s="67">
        <v>31.0</v>
      </c>
      <c r="C35" s="52"/>
      <c r="D35" s="69" t="s">
        <v>52</v>
      </c>
      <c r="E35" s="71" t="s">
        <v>53</v>
      </c>
      <c r="F35" s="138">
        <v>7390100.0</v>
      </c>
      <c r="G35" s="138">
        <v>7594600.0</v>
      </c>
      <c r="H35" s="138">
        <v>8064600.0</v>
      </c>
      <c r="I35" s="138">
        <v>2.23875E9</v>
      </c>
      <c r="J35" s="138">
        <v>2.23875E9</v>
      </c>
      <c r="K35" s="138">
        <v>2.23875E9</v>
      </c>
      <c r="L35" s="123" t="str">
        <f t="shared" ref="L35:N35" si="31">F35/I35</f>
        <v>  0.00330 </v>
      </c>
      <c r="M35" s="123" t="str">
        <f t="shared" si="31"/>
        <v>  0.00339 </v>
      </c>
      <c r="N35" s="123" t="str">
        <f t="shared" si="31"/>
        <v>  0.00360 </v>
      </c>
    </row>
    <row r="36" ht="14.25" customHeight="1">
      <c r="B36" s="67">
        <v>32.0</v>
      </c>
      <c r="C36" s="52"/>
      <c r="D36" s="69" t="s">
        <v>58</v>
      </c>
      <c r="E36" s="71" t="s">
        <v>59</v>
      </c>
      <c r="F36" s="135">
        <v>1.875E7</v>
      </c>
      <c r="G36" s="135">
        <v>2.2446E8</v>
      </c>
      <c r="H36" s="135">
        <v>2.2446E8</v>
      </c>
      <c r="I36" s="135">
        <v>2.882353E9</v>
      </c>
      <c r="J36" s="135">
        <v>3.34352948E10</v>
      </c>
      <c r="K36" s="135">
        <v>3.34352948E10</v>
      </c>
      <c r="L36" s="123" t="str">
        <f t="shared" ref="L36:N36" si="32">F36/I36</f>
        <v>  0.00651 </v>
      </c>
      <c r="M36" s="123" t="str">
        <f t="shared" si="32"/>
        <v>  0.00671 </v>
      </c>
      <c r="N36" s="123" t="str">
        <f t="shared" si="32"/>
        <v>  0.00671 </v>
      </c>
      <c r="P36" s="112"/>
    </row>
    <row r="37" ht="14.25" customHeight="1">
      <c r="B37" s="67">
        <v>33.0</v>
      </c>
      <c r="C37" s="52"/>
      <c r="D37" s="69" t="s">
        <v>60</v>
      </c>
      <c r="E37" s="71" t="s">
        <v>61</v>
      </c>
      <c r="F37" s="135">
        <v>0.0</v>
      </c>
      <c r="G37" s="135">
        <v>0.0</v>
      </c>
      <c r="H37" s="135">
        <v>0.0</v>
      </c>
      <c r="I37" s="135">
        <v>2.107E9</v>
      </c>
      <c r="J37" s="135">
        <v>2.107E9</v>
      </c>
      <c r="K37" s="135">
        <v>2.107E9</v>
      </c>
      <c r="L37" s="123" t="str">
        <f t="shared" ref="L37:N37" si="33">F37/I37</f>
        <v>  -   </v>
      </c>
      <c r="M37" s="123" t="str">
        <f t="shared" si="33"/>
        <v>  -   </v>
      </c>
      <c r="N37" s="123" t="str">
        <f t="shared" si="33"/>
        <v>  -   </v>
      </c>
      <c r="P37" s="112"/>
    </row>
    <row r="38" ht="14.25" customHeight="1">
      <c r="B38" s="67">
        <v>34.0</v>
      </c>
      <c r="C38" s="52"/>
      <c r="D38" s="69" t="s">
        <v>62</v>
      </c>
      <c r="E38" s="71" t="s">
        <v>63</v>
      </c>
      <c r="F38" s="138">
        <v>72678.0</v>
      </c>
      <c r="G38" s="138">
        <v>7024200.0</v>
      </c>
      <c r="H38" s="135" t="str">
        <f>27949700+16702100+2794800</f>
        <v>  47,446,600 </v>
      </c>
      <c r="I38" s="138">
        <v>1.5569889687E10</v>
      </c>
      <c r="J38" s="138">
        <v>1.5569889687E10</v>
      </c>
      <c r="K38" s="138">
        <v>1.5569889687E10</v>
      </c>
      <c r="L38" s="123" t="str">
        <f t="shared" ref="L38:N38" si="34">F38/I38</f>
        <v>  0.00000 </v>
      </c>
      <c r="M38" s="123" t="str">
        <f t="shared" si="34"/>
        <v>  0.00045 </v>
      </c>
      <c r="N38" s="123" t="str">
        <f t="shared" si="34"/>
        <v>  0.00305 </v>
      </c>
      <c r="P38" s="112"/>
    </row>
    <row r="39" ht="14.25" customHeight="1">
      <c r="B39" s="67">
        <v>35.0</v>
      </c>
      <c r="C39" s="52"/>
      <c r="D39" s="69" t="s">
        <v>54</v>
      </c>
      <c r="E39" s="71" t="s">
        <v>55</v>
      </c>
      <c r="F39" s="135">
        <v>5.6461105E9</v>
      </c>
      <c r="G39" s="135">
        <v>5.6461105E9</v>
      </c>
      <c r="H39" s="135">
        <v>5.648519E9</v>
      </c>
      <c r="I39" s="135">
        <v>2.2358699725E10</v>
      </c>
      <c r="J39" s="135">
        <v>2.2358699725E10</v>
      </c>
      <c r="K39" s="135">
        <v>2.2358699725E10</v>
      </c>
      <c r="L39" s="123" t="str">
        <f t="shared" ref="L39:N39" si="35">F39/I39</f>
        <v>  0.25252 </v>
      </c>
      <c r="M39" s="123" t="str">
        <f t="shared" si="35"/>
        <v>  0.25252 </v>
      </c>
      <c r="N39" s="123" t="str">
        <f t="shared" si="35"/>
        <v>  0.25263 </v>
      </c>
      <c r="P39" s="112"/>
    </row>
    <row r="40" ht="14.25" customHeight="1">
      <c r="B40" s="67">
        <v>36.0</v>
      </c>
      <c r="C40" s="52"/>
      <c r="D40" s="69" t="s">
        <v>190</v>
      </c>
      <c r="E40" s="71" t="s">
        <v>191</v>
      </c>
      <c r="F40" s="135">
        <v>0.0</v>
      </c>
      <c r="G40" s="135">
        <v>15800.0</v>
      </c>
      <c r="H40" s="135">
        <v>15800.0</v>
      </c>
      <c r="I40" s="135">
        <v>5.737848882E9</v>
      </c>
      <c r="J40" s="135">
        <v>5.737848882E9</v>
      </c>
      <c r="K40" s="135">
        <v>5.737848882E9</v>
      </c>
      <c r="L40" s="123" t="str">
        <f t="shared" ref="L40:N40" si="36">F40/I40</f>
        <v>  -   </v>
      </c>
      <c r="M40" s="123" t="str">
        <f t="shared" si="36"/>
        <v>  0.00000 </v>
      </c>
      <c r="N40" s="123" t="str">
        <f t="shared" si="36"/>
        <v>  0.00000 </v>
      </c>
    </row>
    <row r="41" ht="14.25" customHeight="1">
      <c r="B41" s="67">
        <v>37.0</v>
      </c>
      <c r="C41" s="52"/>
      <c r="D41" s="69" t="s">
        <v>64</v>
      </c>
      <c r="E41" s="71" t="s">
        <v>65</v>
      </c>
      <c r="F41" s="135">
        <v>1.6E9</v>
      </c>
      <c r="G41" s="135">
        <v>1.6E9</v>
      </c>
      <c r="H41" s="135">
        <v>1.6E9</v>
      </c>
      <c r="I41" s="135">
        <v>1.885E10</v>
      </c>
      <c r="J41" s="135">
        <v>1.885E10</v>
      </c>
      <c r="K41" s="135">
        <v>1.885E10</v>
      </c>
      <c r="L41" s="123" t="str">
        <f t="shared" ref="L41:N41" si="37">F41/I41</f>
        <v>  0.08488 </v>
      </c>
      <c r="M41" s="123" t="str">
        <f t="shared" si="37"/>
        <v>  0.08488 </v>
      </c>
      <c r="N41" s="123" t="str">
        <f t="shared" si="37"/>
        <v>  0.08488 </v>
      </c>
    </row>
    <row r="42" ht="14.25" customHeight="1">
      <c r="B42" s="67">
        <v>38.0</v>
      </c>
      <c r="C42" s="52"/>
      <c r="D42" s="69" t="s">
        <v>184</v>
      </c>
      <c r="E42" s="71" t="s">
        <v>185</v>
      </c>
      <c r="F42" s="135">
        <v>0.0</v>
      </c>
      <c r="G42" s="135">
        <v>0.0</v>
      </c>
      <c r="H42" s="135">
        <v>0.0</v>
      </c>
      <c r="I42" s="135">
        <v>5.703234288E9</v>
      </c>
      <c r="J42" s="135">
        <v>5.703234288E9</v>
      </c>
      <c r="K42" s="135">
        <v>5.692579488E9</v>
      </c>
      <c r="L42" s="123" t="str">
        <f t="shared" ref="L42:N42" si="38">F42/I42</f>
        <v>  -   </v>
      </c>
      <c r="M42" s="123" t="str">
        <f t="shared" si="38"/>
        <v>  -   </v>
      </c>
      <c r="N42" s="123" t="str">
        <f t="shared" si="38"/>
        <v>  -   </v>
      </c>
    </row>
    <row r="43" ht="14.25" customHeight="1">
      <c r="B43" s="67">
        <v>39.0</v>
      </c>
      <c r="C43" s="52"/>
      <c r="D43" s="69" t="s">
        <v>176</v>
      </c>
      <c r="E43" s="71" t="s">
        <v>177</v>
      </c>
      <c r="F43" s="135">
        <v>0.0</v>
      </c>
      <c r="G43" s="135">
        <v>0.0</v>
      </c>
      <c r="H43" s="135">
        <v>0.0</v>
      </c>
      <c r="I43" s="135">
        <v>1.274E9</v>
      </c>
      <c r="J43" s="135">
        <v>1.274E9</v>
      </c>
      <c r="K43" s="135">
        <v>1.274E9</v>
      </c>
      <c r="L43" s="123" t="str">
        <f t="shared" ref="L43:N43" si="39">F43/I43</f>
        <v>  -   </v>
      </c>
      <c r="M43" s="123" t="str">
        <f t="shared" si="39"/>
        <v>  -   </v>
      </c>
      <c r="N43" s="123" t="str">
        <f t="shared" si="39"/>
        <v>  -   </v>
      </c>
    </row>
    <row r="44" ht="14.25" customHeight="1">
      <c r="B44" s="67">
        <v>40.0</v>
      </c>
      <c r="C44" s="52"/>
      <c r="D44" s="69" t="s">
        <v>72</v>
      </c>
      <c r="E44" s="71" t="s">
        <v>73</v>
      </c>
      <c r="F44" s="135">
        <v>0.0</v>
      </c>
      <c r="G44" s="135">
        <v>0.0</v>
      </c>
      <c r="H44" s="135">
        <v>0.0</v>
      </c>
      <c r="I44" s="135">
        <v>1.818622E9</v>
      </c>
      <c r="J44" s="135">
        <v>1.818622E9</v>
      </c>
      <c r="K44" s="135">
        <v>1.818622E9</v>
      </c>
      <c r="L44" s="123" t="str">
        <f t="shared" ref="L44:N44" si="40">F44/I44</f>
        <v>  -   </v>
      </c>
      <c r="M44" s="123" t="str">
        <f t="shared" si="40"/>
        <v>  -   </v>
      </c>
      <c r="N44" s="123" t="str">
        <f t="shared" si="40"/>
        <v>  -   </v>
      </c>
    </row>
    <row r="45" ht="14.25" customHeight="1">
      <c r="B45" s="67">
        <v>41.0</v>
      </c>
      <c r="C45" s="52"/>
      <c r="D45" s="69" t="s">
        <v>70</v>
      </c>
      <c r="E45" s="71" t="s">
        <v>71</v>
      </c>
      <c r="F45" s="109">
        <v>920000.0</v>
      </c>
      <c r="G45" s="109">
        <v>920000.0</v>
      </c>
      <c r="H45" s="109">
        <v>920000.0</v>
      </c>
      <c r="I45" s="109">
        <v>1.550131E10</v>
      </c>
      <c r="J45" s="109">
        <v>1.550131E10</v>
      </c>
      <c r="K45" s="109">
        <v>1.550131E10</v>
      </c>
      <c r="L45" s="123" t="str">
        <f t="shared" ref="L45:N45" si="41">F45/I45</f>
        <v>  0.00006 </v>
      </c>
      <c r="M45" s="123" t="str">
        <f t="shared" si="41"/>
        <v>  0.00006 </v>
      </c>
      <c r="N45" s="123" t="str">
        <f t="shared" si="41"/>
        <v>  0.00006 </v>
      </c>
    </row>
    <row r="46" ht="14.25" customHeight="1">
      <c r="B46" s="67">
        <v>42.0</v>
      </c>
      <c r="C46" s="52"/>
      <c r="D46" s="69" t="s">
        <v>202</v>
      </c>
      <c r="E46" s="71" t="s">
        <v>203</v>
      </c>
      <c r="F46" s="135">
        <v>3658266.0</v>
      </c>
      <c r="G46" s="135">
        <v>3.735491E7</v>
      </c>
      <c r="H46" s="135">
        <v>3.735491E7</v>
      </c>
      <c r="I46" s="135">
        <v>6.907405E8</v>
      </c>
      <c r="J46" s="135">
        <v>6.907405E9</v>
      </c>
      <c r="K46" s="135">
        <v>6.907405E9</v>
      </c>
      <c r="L46" s="123" t="str">
        <f t="shared" ref="L46:N46" si="42">F46/I46</f>
        <v>  0.00530 </v>
      </c>
      <c r="M46" s="123" t="str">
        <f t="shared" si="42"/>
        <v>  0.00541 </v>
      </c>
      <c r="N46" s="123" t="str">
        <f t="shared" si="42"/>
        <v>  0.00541 </v>
      </c>
    </row>
    <row r="47" ht="14.25" customHeight="1">
      <c r="B47" s="67">
        <v>43.0</v>
      </c>
      <c r="C47" s="52"/>
      <c r="D47" s="69" t="s">
        <v>206</v>
      </c>
      <c r="E47" s="71" t="s">
        <v>207</v>
      </c>
      <c r="F47" s="138">
        <v>0.0</v>
      </c>
      <c r="G47" s="138">
        <v>0.0</v>
      </c>
      <c r="H47" s="138">
        <v>0.0</v>
      </c>
      <c r="I47" s="138">
        <v>2.872193366E9</v>
      </c>
      <c r="J47" s="138">
        <v>2.872193366E9</v>
      </c>
      <c r="K47" s="138">
        <v>2.872193366E9</v>
      </c>
      <c r="L47" s="123" t="str">
        <f t="shared" ref="L47:N47" si="43">F47/I47</f>
        <v>  -   </v>
      </c>
      <c r="M47" s="123" t="str">
        <f t="shared" si="43"/>
        <v>  -   </v>
      </c>
      <c r="N47" s="123" t="str">
        <f t="shared" si="43"/>
        <v>  -   </v>
      </c>
    </row>
    <row r="48" ht="14.25" customHeight="1">
      <c r="B48" s="67">
        <v>44.0</v>
      </c>
      <c r="C48" s="52"/>
      <c r="D48" s="69" t="s">
        <v>76</v>
      </c>
      <c r="E48" s="71" t="s">
        <v>77</v>
      </c>
      <c r="F48" s="135">
        <v>60000.0</v>
      </c>
      <c r="G48" s="135">
        <v>150000.0</v>
      </c>
      <c r="H48" s="135">
        <v>0.0</v>
      </c>
      <c r="I48" s="135">
        <v>9.525E9</v>
      </c>
      <c r="J48" s="135">
        <v>9.525E9</v>
      </c>
      <c r="K48" s="135">
        <v>9.525E9</v>
      </c>
      <c r="L48" s="123" t="str">
        <f t="shared" ref="L48:N48" si="44">F48/I48</f>
        <v>  0.00001 </v>
      </c>
      <c r="M48" s="123" t="str">
        <f t="shared" si="44"/>
        <v>  0.00002 </v>
      </c>
      <c r="N48" s="123" t="str">
        <f t="shared" si="44"/>
        <v>  -   </v>
      </c>
    </row>
    <row r="49" ht="14.25" customHeight="1">
      <c r="B49" s="67">
        <v>45.0</v>
      </c>
      <c r="C49" s="52"/>
      <c r="D49" s="69" t="s">
        <v>204</v>
      </c>
      <c r="E49" s="71" t="s">
        <v>205</v>
      </c>
      <c r="F49" s="141"/>
      <c r="G49" s="138">
        <v>4.17508E7</v>
      </c>
      <c r="H49" s="138">
        <v>4.17508E7</v>
      </c>
      <c r="I49" s="138">
        <v>1.31E9</v>
      </c>
      <c r="J49" s="138">
        <v>1.31E9</v>
      </c>
      <c r="K49" s="138">
        <v>1.31E9</v>
      </c>
      <c r="L49" s="123" t="str">
        <f t="shared" ref="L49:N49" si="45">F49/I49</f>
        <v>  -   </v>
      </c>
      <c r="M49" s="123" t="str">
        <f t="shared" si="45"/>
        <v>  0.03187 </v>
      </c>
      <c r="N49" s="123" t="str">
        <f t="shared" si="45"/>
        <v>  0.03187 </v>
      </c>
    </row>
    <row r="50" ht="14.25" customHeight="1">
      <c r="B50" s="67">
        <v>46.0</v>
      </c>
      <c r="C50" s="52"/>
      <c r="D50" s="69" t="s">
        <v>82</v>
      </c>
      <c r="E50" s="71" t="s">
        <v>83</v>
      </c>
      <c r="F50" s="135">
        <v>1.170946E8</v>
      </c>
      <c r="G50" s="135">
        <v>1.435294E8</v>
      </c>
      <c r="H50" s="135">
        <v>1.681204E8</v>
      </c>
      <c r="I50" s="135">
        <v>1.985254E10</v>
      </c>
      <c r="J50" s="135">
        <v>1.985254E10</v>
      </c>
      <c r="K50" s="135">
        <v>1.985254E10</v>
      </c>
      <c r="L50" s="123" t="str">
        <f t="shared" ref="L50:N50" si="46">F50/I50</f>
        <v>  0.00590 </v>
      </c>
      <c r="M50" s="123" t="str">
        <f t="shared" si="46"/>
        <v>  0.00723 </v>
      </c>
      <c r="N50" s="123" t="str">
        <f t="shared" si="46"/>
        <v>  0.00847 </v>
      </c>
    </row>
    <row r="51" ht="14.25" customHeight="1">
      <c r="B51" s="67">
        <v>47.0</v>
      </c>
      <c r="C51" s="52"/>
      <c r="D51" s="69" t="s">
        <v>84</v>
      </c>
      <c r="E51" s="71" t="s">
        <v>85</v>
      </c>
      <c r="F51" s="134"/>
      <c r="G51" s="134"/>
      <c r="H51" s="134"/>
      <c r="I51" s="135">
        <v>5.342098939E9</v>
      </c>
      <c r="J51" s="135">
        <v>6.025373372E9</v>
      </c>
      <c r="K51" s="135">
        <v>6.025373372E9</v>
      </c>
      <c r="L51" s="123" t="str">
        <f t="shared" ref="L51:N51" si="47">F51/I51</f>
        <v>  -   </v>
      </c>
      <c r="M51" s="123" t="str">
        <f t="shared" si="47"/>
        <v>  -   </v>
      </c>
      <c r="N51" s="123" t="str">
        <f t="shared" si="47"/>
        <v>  -   </v>
      </c>
    </row>
    <row r="52" ht="14.25" customHeight="1">
      <c r="B52" s="67">
        <v>48.0</v>
      </c>
      <c r="C52" s="52"/>
      <c r="D52" s="69" t="s">
        <v>212</v>
      </c>
      <c r="E52" s="71" t="s">
        <v>213</v>
      </c>
      <c r="F52" s="138">
        <v>4253250.0</v>
      </c>
      <c r="G52" s="138">
        <v>2661250.0</v>
      </c>
      <c r="H52" s="138">
        <v>2661250.0</v>
      </c>
      <c r="I52" s="138">
        <v>9.1849275E8</v>
      </c>
      <c r="J52" s="138">
        <v>9.1849275E8</v>
      </c>
      <c r="K52" s="138">
        <v>9.1849275E8</v>
      </c>
      <c r="L52" s="123" t="str">
        <f t="shared" ref="L52:N52" si="48">F52/I52</f>
        <v>  0.00463 </v>
      </c>
      <c r="M52" s="123" t="str">
        <f t="shared" si="48"/>
        <v>  0.00290 </v>
      </c>
      <c r="N52" s="123" t="str">
        <f t="shared" si="48"/>
        <v>  0.00290 </v>
      </c>
    </row>
    <row r="53" ht="14.25" customHeight="1">
      <c r="B53" s="67">
        <v>49.0</v>
      </c>
      <c r="C53" s="52"/>
      <c r="D53" s="69" t="s">
        <v>88</v>
      </c>
      <c r="E53" s="71" t="s">
        <v>89</v>
      </c>
      <c r="F53" s="135">
        <v>500.0</v>
      </c>
      <c r="G53" s="135">
        <v>10000.0</v>
      </c>
      <c r="H53" s="135">
        <v>359400.0</v>
      </c>
      <c r="I53" s="135">
        <v>4.1565723E9</v>
      </c>
      <c r="J53" s="135">
        <v>4.1565723E9</v>
      </c>
      <c r="K53" s="135">
        <v>4.1565723E9</v>
      </c>
      <c r="L53" s="123" t="str">
        <f t="shared" ref="L53:N53" si="49">F53/I53</f>
        <v>  0.00000 </v>
      </c>
      <c r="M53" s="123" t="str">
        <f t="shared" si="49"/>
        <v>  0.00000 </v>
      </c>
      <c r="N53" s="123" t="str">
        <f t="shared" si="49"/>
        <v>  0.00009 </v>
      </c>
    </row>
    <row r="54" ht="14.25" customHeight="1">
      <c r="B54" s="67">
        <v>50.0</v>
      </c>
      <c r="C54" s="52"/>
      <c r="D54" s="69" t="s">
        <v>86</v>
      </c>
      <c r="E54" s="71" t="s">
        <v>87</v>
      </c>
      <c r="F54" s="135">
        <v>5.63252736E9</v>
      </c>
      <c r="G54" s="135">
        <v>4.06638416E9</v>
      </c>
      <c r="H54" s="142">
        <v>5.66714946E9</v>
      </c>
      <c r="I54" s="135">
        <v>1.1553528E10</v>
      </c>
      <c r="J54" s="135">
        <v>1.03981752E10</v>
      </c>
      <c r="K54" s="135">
        <v>1.03981752E10</v>
      </c>
      <c r="L54" s="123" t="str">
        <f t="shared" ref="L54:N54" si="50">F54/I54</f>
        <v>  0.48752 </v>
      </c>
      <c r="M54" s="123" t="str">
        <f t="shared" si="50"/>
        <v>  0.39107 </v>
      </c>
      <c r="N54" s="123" t="str">
        <f t="shared" si="50"/>
        <v>  0.54501 </v>
      </c>
    </row>
    <row r="55" ht="14.25" customHeight="1">
      <c r="B55" s="67">
        <v>51.0</v>
      </c>
      <c r="C55" s="52"/>
      <c r="D55" s="69" t="s">
        <v>226</v>
      </c>
      <c r="E55" s="71" t="s">
        <v>227</v>
      </c>
      <c r="F55" s="134"/>
      <c r="G55" s="134"/>
      <c r="H55" s="134"/>
      <c r="I55" s="135">
        <v>2.500162338E9</v>
      </c>
      <c r="J55" s="135">
        <v>2.500162338E9</v>
      </c>
      <c r="K55" s="135">
        <v>2.500162338E9</v>
      </c>
      <c r="L55" s="123" t="str">
        <f t="shared" ref="L55:N55" si="51">F55/I55</f>
        <v>  -   </v>
      </c>
      <c r="M55" s="123" t="str">
        <f t="shared" si="51"/>
        <v>  -   </v>
      </c>
      <c r="N55" s="123" t="str">
        <f t="shared" si="51"/>
        <v>  -   </v>
      </c>
    </row>
    <row r="56" ht="14.25" customHeight="1">
      <c r="B56" s="67">
        <v>52.0</v>
      </c>
      <c r="C56" s="52"/>
      <c r="D56" s="69" t="s">
        <v>90</v>
      </c>
      <c r="E56" s="71" t="s">
        <v>91</v>
      </c>
      <c r="F56" s="134"/>
      <c r="G56" s="134"/>
      <c r="H56" s="134"/>
      <c r="I56" s="135">
        <v>3.815E10</v>
      </c>
      <c r="J56" s="135">
        <v>3.815E10</v>
      </c>
      <c r="K56" s="135">
        <v>3.815E10</v>
      </c>
      <c r="L56" s="123" t="str">
        <f t="shared" ref="L56:N56" si="52">F56/I56</f>
        <v>  -   </v>
      </c>
      <c r="M56" s="123" t="str">
        <f t="shared" si="52"/>
        <v>  -   </v>
      </c>
      <c r="N56" s="123" t="str">
        <f t="shared" si="52"/>
        <v>  -   </v>
      </c>
    </row>
    <row r="57" ht="14.25" customHeight="1">
      <c r="B57" s="67">
        <v>53.0</v>
      </c>
      <c r="C57" s="52"/>
      <c r="D57" s="69" t="s">
        <v>92</v>
      </c>
      <c r="E57" s="71" t="s">
        <v>93</v>
      </c>
      <c r="F57" s="135">
        <v>1635500.0</v>
      </c>
      <c r="G57" s="135">
        <v>1635500.0</v>
      </c>
      <c r="H57" s="135">
        <v>2.16355E7</v>
      </c>
      <c r="I57" s="135">
        <v>6.708E9</v>
      </c>
      <c r="J57" s="135">
        <v>6.708E9</v>
      </c>
      <c r="K57" s="135">
        <v>6.708E9</v>
      </c>
      <c r="L57" s="123" t="str">
        <f t="shared" ref="L57:N57" si="53">F57/I57</f>
        <v>  0.00024 </v>
      </c>
      <c r="M57" s="123" t="str">
        <f t="shared" si="53"/>
        <v>  0.00024 </v>
      </c>
      <c r="N57" s="123" t="str">
        <f t="shared" si="53"/>
        <v>  0.00323 </v>
      </c>
    </row>
    <row r="58" ht="14.25" customHeight="1">
      <c r="B58" s="67">
        <v>54.0</v>
      </c>
      <c r="C58" s="46"/>
      <c r="D58" s="69" t="s">
        <v>94</v>
      </c>
      <c r="E58" s="71" t="s">
        <v>95</v>
      </c>
      <c r="F58" s="135">
        <v>1.129946737E9</v>
      </c>
      <c r="G58" s="135">
        <v>1.325986517E9</v>
      </c>
      <c r="H58" s="135">
        <v>1.326942759E9</v>
      </c>
      <c r="I58" s="135">
        <v>2.09987376E9</v>
      </c>
      <c r="J58" s="135">
        <v>2.09987376E9</v>
      </c>
      <c r="K58" s="135">
        <v>2.09987376E9</v>
      </c>
      <c r="L58" s="123" t="str">
        <f t="shared" ref="L58:N58" si="54">F58/I58</f>
        <v>  0.53810 </v>
      </c>
      <c r="M58" s="123" t="str">
        <f t="shared" si="54"/>
        <v>  0.63146 </v>
      </c>
      <c r="N58" s="123" t="str">
        <f t="shared" si="54"/>
        <v>  0.63192 </v>
      </c>
    </row>
    <row r="59" ht="14.25" customHeight="1">
      <c r="D59" s="38"/>
      <c r="L59" s="115"/>
      <c r="M59" s="115"/>
      <c r="N59" s="115"/>
    </row>
    <row r="60" ht="14.25" customHeight="1">
      <c r="D60" s="38"/>
      <c r="L60" s="115"/>
      <c r="M60" s="115"/>
      <c r="N60" s="115"/>
    </row>
    <row r="61" ht="14.25" customHeight="1">
      <c r="D61" s="38"/>
      <c r="L61" s="115"/>
      <c r="M61" s="115"/>
      <c r="N61" s="115"/>
    </row>
    <row r="62" ht="14.25" customHeight="1">
      <c r="D62" s="38"/>
      <c r="L62" s="115"/>
      <c r="M62" s="115"/>
      <c r="N62" s="115"/>
    </row>
    <row r="63" ht="14.25" customHeight="1">
      <c r="D63" s="38"/>
      <c r="L63" s="115"/>
      <c r="M63" s="115"/>
      <c r="N63" s="115"/>
    </row>
    <row r="64" ht="14.25" customHeight="1">
      <c r="D64" s="38"/>
      <c r="L64" s="115"/>
      <c r="M64" s="115"/>
      <c r="N64" s="115"/>
    </row>
    <row r="65" ht="14.25" customHeight="1">
      <c r="D65" s="38"/>
      <c r="L65" s="115"/>
      <c r="M65" s="115"/>
      <c r="N65" s="115"/>
    </row>
    <row r="66" ht="14.25" customHeight="1">
      <c r="D66" s="38"/>
      <c r="L66" s="115"/>
      <c r="M66" s="115"/>
      <c r="N66" s="115"/>
    </row>
    <row r="67" ht="14.25" customHeight="1">
      <c r="D67" s="38"/>
      <c r="L67" s="115"/>
      <c r="M67" s="115"/>
      <c r="N67" s="115"/>
    </row>
    <row r="68" ht="14.25" customHeight="1">
      <c r="D68" s="38"/>
      <c r="L68" s="115"/>
      <c r="M68" s="115"/>
      <c r="N68" s="115"/>
    </row>
    <row r="69" ht="14.25" customHeight="1">
      <c r="D69" s="38"/>
      <c r="L69" s="115"/>
      <c r="M69" s="115"/>
      <c r="N69" s="115"/>
    </row>
    <row r="70" ht="14.25" customHeight="1">
      <c r="D70" s="38"/>
      <c r="L70" s="115"/>
      <c r="M70" s="115"/>
      <c r="N70" s="115"/>
    </row>
    <row r="71" ht="14.25" customHeight="1">
      <c r="D71" s="38"/>
      <c r="L71" s="115"/>
      <c r="M71" s="115"/>
      <c r="N71" s="115"/>
    </row>
    <row r="72" ht="14.25" customHeight="1">
      <c r="D72" s="38"/>
      <c r="L72" s="115"/>
      <c r="M72" s="115"/>
      <c r="N72" s="115"/>
    </row>
    <row r="73" ht="14.25" customHeight="1">
      <c r="D73" s="38"/>
      <c r="L73" s="115"/>
      <c r="M73" s="115"/>
      <c r="N73" s="115"/>
    </row>
    <row r="74" ht="14.25" customHeight="1">
      <c r="D74" s="38"/>
      <c r="L74" s="115"/>
      <c r="M74" s="115"/>
      <c r="N74" s="115"/>
    </row>
    <row r="75" ht="14.25" customHeight="1">
      <c r="D75" s="38"/>
      <c r="L75" s="115"/>
      <c r="M75" s="115"/>
      <c r="N75" s="115"/>
    </row>
    <row r="76" ht="14.25" customHeight="1">
      <c r="D76" s="38"/>
      <c r="L76" s="115"/>
      <c r="M76" s="115"/>
      <c r="N76" s="115"/>
    </row>
    <row r="77" ht="14.25" customHeight="1">
      <c r="D77" s="38"/>
      <c r="L77" s="115"/>
      <c r="M77" s="115"/>
      <c r="N77" s="115"/>
    </row>
    <row r="78" ht="14.25" customHeight="1">
      <c r="D78" s="38"/>
      <c r="L78" s="115"/>
      <c r="M78" s="115"/>
      <c r="N78" s="115"/>
    </row>
    <row r="79" ht="14.25" customHeight="1">
      <c r="D79" s="38"/>
      <c r="L79" s="115"/>
      <c r="M79" s="115"/>
      <c r="N79" s="115"/>
    </row>
    <row r="80" ht="14.25" customHeight="1">
      <c r="D80" s="38"/>
      <c r="L80" s="115"/>
      <c r="M80" s="115"/>
      <c r="N80" s="115"/>
    </row>
    <row r="81" ht="14.25" customHeight="1">
      <c r="D81" s="38"/>
      <c r="L81" s="115"/>
      <c r="M81" s="115"/>
      <c r="N81" s="115"/>
    </row>
    <row r="82" ht="14.25" customHeight="1">
      <c r="D82" s="38"/>
      <c r="L82" s="115"/>
      <c r="M82" s="115"/>
      <c r="N82" s="115"/>
    </row>
    <row r="83" ht="14.25" customHeight="1">
      <c r="D83" s="38"/>
      <c r="L83" s="115"/>
      <c r="M83" s="115"/>
      <c r="N83" s="115"/>
    </row>
    <row r="84" ht="14.25" customHeight="1">
      <c r="D84" s="38"/>
      <c r="L84" s="115"/>
      <c r="M84" s="115"/>
      <c r="N84" s="115"/>
    </row>
    <row r="85" ht="14.25" customHeight="1">
      <c r="D85" s="38"/>
      <c r="L85" s="115"/>
      <c r="M85" s="115"/>
      <c r="N85" s="115"/>
    </row>
    <row r="86" ht="14.25" customHeight="1">
      <c r="D86" s="38"/>
      <c r="L86" s="115"/>
      <c r="M86" s="115"/>
      <c r="N86" s="115"/>
    </row>
    <row r="87" ht="14.25" customHeight="1">
      <c r="D87" s="38"/>
      <c r="L87" s="115"/>
      <c r="M87" s="115"/>
      <c r="N87" s="115"/>
    </row>
    <row r="88" ht="14.25" customHeight="1">
      <c r="D88" s="38"/>
      <c r="L88" s="115"/>
      <c r="M88" s="115"/>
      <c r="N88" s="115"/>
    </row>
    <row r="89" ht="14.25" customHeight="1">
      <c r="D89" s="38"/>
      <c r="L89" s="115"/>
      <c r="M89" s="115"/>
      <c r="N89" s="115"/>
    </row>
    <row r="90" ht="14.25" customHeight="1">
      <c r="D90" s="38"/>
      <c r="L90" s="115"/>
      <c r="M90" s="115"/>
      <c r="N90" s="115"/>
    </row>
    <row r="91" ht="14.25" customHeight="1">
      <c r="D91" s="38"/>
      <c r="L91" s="115"/>
      <c r="M91" s="115"/>
      <c r="N91" s="115"/>
    </row>
    <row r="92" ht="14.25" customHeight="1">
      <c r="D92" s="38"/>
      <c r="L92" s="115"/>
      <c r="M92" s="115"/>
      <c r="N92" s="115"/>
    </row>
    <row r="93" ht="14.25" customHeight="1">
      <c r="D93" s="38"/>
      <c r="L93" s="115"/>
      <c r="M93" s="115"/>
      <c r="N93" s="115"/>
    </row>
    <row r="94" ht="14.25" customHeight="1">
      <c r="D94" s="38"/>
      <c r="L94" s="115"/>
      <c r="M94" s="115"/>
      <c r="N94" s="115"/>
    </row>
    <row r="95" ht="14.25" customHeight="1">
      <c r="D95" s="38"/>
      <c r="L95" s="115"/>
      <c r="M95" s="115"/>
      <c r="N95" s="115"/>
    </row>
    <row r="96" ht="14.25" customHeight="1">
      <c r="D96" s="38"/>
      <c r="L96" s="115"/>
      <c r="M96" s="115"/>
      <c r="N96" s="115"/>
    </row>
    <row r="97" ht="14.25" customHeight="1">
      <c r="D97" s="38"/>
      <c r="L97" s="115"/>
      <c r="M97" s="115"/>
      <c r="N97" s="115"/>
    </row>
    <row r="98" ht="14.25" customHeight="1">
      <c r="D98" s="38"/>
      <c r="L98" s="115"/>
      <c r="M98" s="115"/>
      <c r="N98" s="115"/>
    </row>
    <row r="99" ht="14.25" customHeight="1">
      <c r="D99" s="38"/>
      <c r="L99" s="115"/>
      <c r="M99" s="115"/>
      <c r="N99" s="115"/>
    </row>
    <row r="100" ht="14.25" customHeight="1">
      <c r="D100" s="38"/>
      <c r="L100" s="115"/>
      <c r="M100" s="115"/>
      <c r="N100" s="115"/>
    </row>
    <row r="101" ht="14.25" customHeight="1">
      <c r="D101" s="38"/>
      <c r="L101" s="115"/>
      <c r="M101" s="115"/>
      <c r="N101" s="115"/>
    </row>
    <row r="102" ht="14.25" customHeight="1">
      <c r="D102" s="38"/>
      <c r="L102" s="115"/>
      <c r="M102" s="115"/>
      <c r="N102" s="115"/>
    </row>
    <row r="103" ht="14.25" customHeight="1">
      <c r="D103" s="38"/>
      <c r="L103" s="115"/>
      <c r="M103" s="115"/>
      <c r="N103" s="115"/>
    </row>
    <row r="104" ht="14.25" customHeight="1">
      <c r="D104" s="38"/>
      <c r="L104" s="115"/>
      <c r="M104" s="115"/>
      <c r="N104" s="115"/>
    </row>
    <row r="105" ht="14.25" customHeight="1">
      <c r="D105" s="38"/>
      <c r="L105" s="115"/>
      <c r="M105" s="115"/>
      <c r="N105" s="115"/>
    </row>
    <row r="106" ht="14.25" customHeight="1">
      <c r="D106" s="38"/>
      <c r="L106" s="115"/>
      <c r="M106" s="115"/>
      <c r="N106" s="115"/>
    </row>
    <row r="107" ht="14.25" customHeight="1">
      <c r="D107" s="38"/>
      <c r="L107" s="115"/>
      <c r="M107" s="115"/>
      <c r="N107" s="115"/>
    </row>
    <row r="108" ht="14.25" customHeight="1">
      <c r="D108" s="38"/>
      <c r="L108" s="115"/>
      <c r="M108" s="115"/>
      <c r="N108" s="115"/>
    </row>
    <row r="109" ht="14.25" customHeight="1">
      <c r="D109" s="38"/>
      <c r="L109" s="115"/>
      <c r="M109" s="115"/>
      <c r="N109" s="115"/>
    </row>
    <row r="110" ht="14.25" customHeight="1">
      <c r="D110" s="38"/>
      <c r="L110" s="115"/>
      <c r="M110" s="115"/>
      <c r="N110" s="115"/>
    </row>
    <row r="111" ht="14.25" customHeight="1">
      <c r="D111" s="38"/>
      <c r="L111" s="115"/>
      <c r="M111" s="115"/>
      <c r="N111" s="115"/>
    </row>
    <row r="112" ht="14.25" customHeight="1">
      <c r="D112" s="38"/>
      <c r="L112" s="115"/>
      <c r="M112" s="115"/>
      <c r="N112" s="115"/>
    </row>
    <row r="113" ht="14.25" customHeight="1">
      <c r="D113" s="38"/>
      <c r="L113" s="115"/>
      <c r="M113" s="115"/>
      <c r="N113" s="115"/>
    </row>
    <row r="114" ht="14.25" customHeight="1">
      <c r="D114" s="38"/>
      <c r="L114" s="115"/>
      <c r="M114" s="115"/>
      <c r="N114" s="115"/>
    </row>
    <row r="115" ht="14.25" customHeight="1">
      <c r="D115" s="38"/>
      <c r="L115" s="115"/>
      <c r="M115" s="115"/>
      <c r="N115" s="115"/>
    </row>
    <row r="116" ht="14.25" customHeight="1">
      <c r="D116" s="38"/>
      <c r="L116" s="115"/>
      <c r="M116" s="115"/>
      <c r="N116" s="115"/>
    </row>
    <row r="117" ht="14.25" customHeight="1">
      <c r="D117" s="38"/>
      <c r="L117" s="115"/>
      <c r="M117" s="115"/>
      <c r="N117" s="115"/>
    </row>
    <row r="118" ht="14.25" customHeight="1">
      <c r="D118" s="38"/>
      <c r="L118" s="115"/>
      <c r="M118" s="115"/>
      <c r="N118" s="115"/>
    </row>
    <row r="119" ht="14.25" customHeight="1">
      <c r="D119" s="38"/>
      <c r="L119" s="115"/>
      <c r="M119" s="115"/>
      <c r="N119" s="115"/>
    </row>
    <row r="120" ht="14.25" customHeight="1">
      <c r="D120" s="38"/>
      <c r="L120" s="115"/>
      <c r="M120" s="115"/>
      <c r="N120" s="115"/>
    </row>
    <row r="121" ht="14.25" customHeight="1">
      <c r="D121" s="38"/>
      <c r="L121" s="115"/>
      <c r="M121" s="115"/>
      <c r="N121" s="115"/>
    </row>
    <row r="122" ht="14.25" customHeight="1">
      <c r="D122" s="38"/>
      <c r="L122" s="115"/>
      <c r="M122" s="115"/>
      <c r="N122" s="115"/>
    </row>
    <row r="123" ht="14.25" customHeight="1">
      <c r="D123" s="38"/>
      <c r="L123" s="115"/>
      <c r="M123" s="115"/>
      <c r="N123" s="115"/>
    </row>
    <row r="124" ht="14.25" customHeight="1">
      <c r="D124" s="38"/>
      <c r="L124" s="115"/>
      <c r="M124" s="115"/>
      <c r="N124" s="115"/>
    </row>
    <row r="125" ht="14.25" customHeight="1">
      <c r="D125" s="38"/>
      <c r="L125" s="115"/>
      <c r="M125" s="115"/>
      <c r="N125" s="115"/>
    </row>
    <row r="126" ht="14.25" customHeight="1">
      <c r="D126" s="38"/>
      <c r="L126" s="115"/>
      <c r="M126" s="115"/>
      <c r="N126" s="115"/>
    </row>
    <row r="127" ht="14.25" customHeight="1">
      <c r="D127" s="38"/>
      <c r="L127" s="115"/>
      <c r="M127" s="115"/>
      <c r="N127" s="115"/>
    </row>
    <row r="128" ht="14.25" customHeight="1">
      <c r="D128" s="38"/>
      <c r="L128" s="115"/>
      <c r="M128" s="115"/>
      <c r="N128" s="115"/>
    </row>
    <row r="129" ht="14.25" customHeight="1">
      <c r="D129" s="38"/>
      <c r="L129" s="115"/>
      <c r="M129" s="115"/>
      <c r="N129" s="115"/>
    </row>
    <row r="130" ht="14.25" customHeight="1">
      <c r="D130" s="38"/>
      <c r="L130" s="115"/>
      <c r="M130" s="115"/>
      <c r="N130" s="115"/>
    </row>
    <row r="131" ht="14.25" customHeight="1">
      <c r="D131" s="38"/>
      <c r="L131" s="115"/>
      <c r="M131" s="115"/>
      <c r="N131" s="115"/>
    </row>
    <row r="132" ht="14.25" customHeight="1">
      <c r="D132" s="38"/>
      <c r="L132" s="115"/>
      <c r="M132" s="115"/>
      <c r="N132" s="115"/>
    </row>
    <row r="133" ht="14.25" customHeight="1">
      <c r="D133" s="38"/>
      <c r="L133" s="115"/>
      <c r="M133" s="115"/>
      <c r="N133" s="115"/>
    </row>
    <row r="134" ht="14.25" customHeight="1">
      <c r="D134" s="38"/>
      <c r="L134" s="115"/>
      <c r="M134" s="115"/>
      <c r="N134" s="115"/>
    </row>
    <row r="135" ht="14.25" customHeight="1">
      <c r="D135" s="38"/>
      <c r="L135" s="115"/>
      <c r="M135" s="115"/>
      <c r="N135" s="115"/>
    </row>
    <row r="136" ht="14.25" customHeight="1">
      <c r="D136" s="38"/>
      <c r="L136" s="115"/>
      <c r="M136" s="115"/>
      <c r="N136" s="115"/>
    </row>
    <row r="137" ht="14.25" customHeight="1">
      <c r="D137" s="38"/>
      <c r="L137" s="115"/>
      <c r="M137" s="115"/>
      <c r="N137" s="115"/>
    </row>
    <row r="138" ht="14.25" customHeight="1">
      <c r="D138" s="38"/>
      <c r="L138" s="115"/>
      <c r="M138" s="115"/>
      <c r="N138" s="115"/>
    </row>
    <row r="139" ht="14.25" customHeight="1">
      <c r="D139" s="38"/>
      <c r="L139" s="115"/>
      <c r="M139" s="115"/>
      <c r="N139" s="115"/>
    </row>
    <row r="140" ht="14.25" customHeight="1">
      <c r="D140" s="38"/>
      <c r="L140" s="115"/>
      <c r="M140" s="115"/>
      <c r="N140" s="115"/>
    </row>
    <row r="141" ht="14.25" customHeight="1">
      <c r="D141" s="38"/>
      <c r="L141" s="115"/>
      <c r="M141" s="115"/>
      <c r="N141" s="115"/>
    </row>
    <row r="142" ht="14.25" customHeight="1">
      <c r="D142" s="38"/>
      <c r="L142" s="115"/>
      <c r="M142" s="115"/>
      <c r="N142" s="115"/>
    </row>
    <row r="143" ht="14.25" customHeight="1">
      <c r="D143" s="38"/>
      <c r="L143" s="115"/>
      <c r="M143" s="115"/>
      <c r="N143" s="115"/>
    </row>
    <row r="144" ht="14.25" customHeight="1">
      <c r="D144" s="38"/>
      <c r="L144" s="115"/>
      <c r="M144" s="115"/>
      <c r="N144" s="115"/>
    </row>
    <row r="145" ht="14.25" customHeight="1">
      <c r="D145" s="38"/>
      <c r="L145" s="115"/>
      <c r="M145" s="115"/>
      <c r="N145" s="115"/>
    </row>
    <row r="146" ht="14.25" customHeight="1">
      <c r="D146" s="38"/>
      <c r="L146" s="115"/>
      <c r="M146" s="115"/>
      <c r="N146" s="115"/>
    </row>
    <row r="147" ht="14.25" customHeight="1">
      <c r="D147" s="38"/>
      <c r="L147" s="115"/>
      <c r="M147" s="115"/>
      <c r="N147" s="115"/>
    </row>
    <row r="148" ht="14.25" customHeight="1">
      <c r="D148" s="38"/>
      <c r="L148" s="115"/>
      <c r="M148" s="115"/>
      <c r="N148" s="115"/>
    </row>
    <row r="149" ht="14.25" customHeight="1">
      <c r="D149" s="38"/>
      <c r="L149" s="115"/>
      <c r="M149" s="115"/>
      <c r="N149" s="115"/>
    </row>
    <row r="150" ht="14.25" customHeight="1">
      <c r="D150" s="38"/>
      <c r="L150" s="115"/>
      <c r="M150" s="115"/>
      <c r="N150" s="115"/>
    </row>
    <row r="151" ht="14.25" customHeight="1">
      <c r="D151" s="38"/>
      <c r="L151" s="115"/>
      <c r="M151" s="115"/>
      <c r="N151" s="115"/>
    </row>
    <row r="152" ht="14.25" customHeight="1">
      <c r="D152" s="38"/>
      <c r="L152" s="115"/>
      <c r="M152" s="115"/>
      <c r="N152" s="115"/>
    </row>
    <row r="153" ht="14.25" customHeight="1">
      <c r="D153" s="38"/>
      <c r="L153" s="115"/>
      <c r="M153" s="115"/>
      <c r="N153" s="115"/>
    </row>
    <row r="154" ht="14.25" customHeight="1">
      <c r="D154" s="38"/>
      <c r="L154" s="115"/>
      <c r="M154" s="115"/>
      <c r="N154" s="115"/>
    </row>
    <row r="155" ht="14.25" customHeight="1">
      <c r="D155" s="38"/>
      <c r="L155" s="115"/>
      <c r="M155" s="115"/>
      <c r="N155" s="115"/>
    </row>
    <row r="156" ht="14.25" customHeight="1">
      <c r="D156" s="38"/>
      <c r="L156" s="115"/>
      <c r="M156" s="115"/>
      <c r="N156" s="115"/>
    </row>
    <row r="157" ht="14.25" customHeight="1">
      <c r="D157" s="38"/>
      <c r="L157" s="115"/>
      <c r="M157" s="115"/>
      <c r="N157" s="115"/>
    </row>
    <row r="158" ht="14.25" customHeight="1">
      <c r="D158" s="38"/>
      <c r="L158" s="115"/>
      <c r="M158" s="115"/>
      <c r="N158" s="115"/>
    </row>
    <row r="159" ht="14.25" customHeight="1">
      <c r="D159" s="38"/>
      <c r="L159" s="115"/>
      <c r="M159" s="115"/>
      <c r="N159" s="115"/>
    </row>
    <row r="160" ht="14.25" customHeight="1">
      <c r="D160" s="38"/>
      <c r="L160" s="115"/>
      <c r="M160" s="115"/>
      <c r="N160" s="115"/>
    </row>
    <row r="161" ht="14.25" customHeight="1">
      <c r="D161" s="38"/>
      <c r="L161" s="115"/>
      <c r="M161" s="115"/>
      <c r="N161" s="115"/>
    </row>
    <row r="162" ht="14.25" customHeight="1">
      <c r="D162" s="38"/>
      <c r="L162" s="115"/>
      <c r="M162" s="115"/>
      <c r="N162" s="115"/>
    </row>
    <row r="163" ht="14.25" customHeight="1">
      <c r="D163" s="38"/>
      <c r="L163" s="115"/>
      <c r="M163" s="115"/>
      <c r="N163" s="115"/>
    </row>
    <row r="164" ht="14.25" customHeight="1">
      <c r="D164" s="38"/>
      <c r="L164" s="115"/>
      <c r="M164" s="115"/>
      <c r="N164" s="115"/>
    </row>
    <row r="165" ht="14.25" customHeight="1">
      <c r="D165" s="38"/>
      <c r="L165" s="115"/>
      <c r="M165" s="115"/>
      <c r="N165" s="115"/>
    </row>
    <row r="166" ht="14.25" customHeight="1">
      <c r="D166" s="38"/>
      <c r="L166" s="115"/>
      <c r="M166" s="115"/>
      <c r="N166" s="115"/>
    </row>
    <row r="167" ht="14.25" customHeight="1">
      <c r="D167" s="38"/>
      <c r="L167" s="115"/>
      <c r="M167" s="115"/>
      <c r="N167" s="115"/>
    </row>
    <row r="168" ht="14.25" customHeight="1">
      <c r="D168" s="38"/>
      <c r="L168" s="115"/>
      <c r="M168" s="115"/>
      <c r="N168" s="115"/>
    </row>
    <row r="169" ht="14.25" customHeight="1">
      <c r="D169" s="38"/>
      <c r="L169" s="115"/>
      <c r="M169" s="115"/>
      <c r="N169" s="115"/>
    </row>
    <row r="170" ht="14.25" customHeight="1">
      <c r="D170" s="38"/>
      <c r="L170" s="115"/>
      <c r="M170" s="115"/>
      <c r="N170" s="115"/>
    </row>
    <row r="171" ht="14.25" customHeight="1">
      <c r="D171" s="38"/>
      <c r="L171" s="115"/>
      <c r="M171" s="115"/>
      <c r="N171" s="115"/>
    </row>
    <row r="172" ht="14.25" customHeight="1">
      <c r="D172" s="38"/>
      <c r="L172" s="115"/>
      <c r="M172" s="115"/>
      <c r="N172" s="115"/>
    </row>
    <row r="173" ht="14.25" customHeight="1">
      <c r="D173" s="38"/>
      <c r="L173" s="115"/>
      <c r="M173" s="115"/>
      <c r="N173" s="115"/>
    </row>
    <row r="174" ht="14.25" customHeight="1">
      <c r="D174" s="38"/>
      <c r="L174" s="115"/>
      <c r="M174" s="115"/>
      <c r="N174" s="115"/>
    </row>
    <row r="175" ht="14.25" customHeight="1">
      <c r="D175" s="38"/>
      <c r="L175" s="115"/>
      <c r="M175" s="115"/>
      <c r="N175" s="115"/>
    </row>
    <row r="176" ht="14.25" customHeight="1">
      <c r="D176" s="38"/>
      <c r="L176" s="115"/>
      <c r="M176" s="115"/>
      <c r="N176" s="115"/>
    </row>
    <row r="177" ht="14.25" customHeight="1">
      <c r="D177" s="38"/>
      <c r="L177" s="115"/>
      <c r="M177" s="115"/>
      <c r="N177" s="115"/>
    </row>
    <row r="178" ht="14.25" customHeight="1">
      <c r="D178" s="38"/>
      <c r="L178" s="115"/>
      <c r="M178" s="115"/>
      <c r="N178" s="115"/>
    </row>
    <row r="179" ht="14.25" customHeight="1">
      <c r="D179" s="38"/>
      <c r="L179" s="115"/>
      <c r="M179" s="115"/>
      <c r="N179" s="115"/>
    </row>
    <row r="180" ht="14.25" customHeight="1">
      <c r="D180" s="38"/>
      <c r="L180" s="115"/>
      <c r="M180" s="115"/>
      <c r="N180" s="115"/>
    </row>
    <row r="181" ht="14.25" customHeight="1">
      <c r="D181" s="38"/>
      <c r="L181" s="115"/>
      <c r="M181" s="115"/>
      <c r="N181" s="115"/>
    </row>
    <row r="182" ht="14.25" customHeight="1">
      <c r="D182" s="38"/>
      <c r="L182" s="115"/>
      <c r="M182" s="115"/>
      <c r="N182" s="115"/>
    </row>
    <row r="183" ht="14.25" customHeight="1">
      <c r="D183" s="38"/>
      <c r="L183" s="115"/>
      <c r="M183" s="115"/>
      <c r="N183" s="115"/>
    </row>
    <row r="184" ht="14.25" customHeight="1">
      <c r="D184" s="38"/>
      <c r="L184" s="115"/>
      <c r="M184" s="115"/>
      <c r="N184" s="115"/>
    </row>
    <row r="185" ht="14.25" customHeight="1">
      <c r="D185" s="38"/>
      <c r="L185" s="115"/>
      <c r="M185" s="115"/>
      <c r="N185" s="115"/>
    </row>
    <row r="186" ht="14.25" customHeight="1">
      <c r="D186" s="38"/>
      <c r="L186" s="115"/>
      <c r="M186" s="115"/>
      <c r="N186" s="115"/>
    </row>
    <row r="187" ht="14.25" customHeight="1">
      <c r="D187" s="38"/>
      <c r="L187" s="115"/>
      <c r="M187" s="115"/>
      <c r="N187" s="115"/>
    </row>
    <row r="188" ht="14.25" customHeight="1">
      <c r="D188" s="38"/>
      <c r="L188" s="115"/>
      <c r="M188" s="115"/>
      <c r="N188" s="115"/>
    </row>
    <row r="189" ht="14.25" customHeight="1">
      <c r="D189" s="38"/>
      <c r="L189" s="115"/>
      <c r="M189" s="115"/>
      <c r="N189" s="115"/>
    </row>
    <row r="190" ht="14.25" customHeight="1">
      <c r="D190" s="38"/>
      <c r="L190" s="115"/>
      <c r="M190" s="115"/>
      <c r="N190" s="115"/>
    </row>
    <row r="191" ht="14.25" customHeight="1">
      <c r="D191" s="38"/>
      <c r="L191" s="115"/>
      <c r="M191" s="115"/>
      <c r="N191" s="115"/>
    </row>
    <row r="192" ht="14.25" customHeight="1">
      <c r="D192" s="38"/>
      <c r="L192" s="115"/>
      <c r="M192" s="115"/>
      <c r="N192" s="115"/>
    </row>
    <row r="193" ht="14.25" customHeight="1">
      <c r="D193" s="38"/>
      <c r="L193" s="115"/>
      <c r="M193" s="115"/>
      <c r="N193" s="115"/>
    </row>
    <row r="194" ht="14.25" customHeight="1">
      <c r="D194" s="38"/>
      <c r="L194" s="115"/>
      <c r="M194" s="115"/>
      <c r="N194" s="115"/>
    </row>
    <row r="195" ht="14.25" customHeight="1">
      <c r="D195" s="38"/>
      <c r="L195" s="115"/>
      <c r="M195" s="115"/>
      <c r="N195" s="115"/>
    </row>
    <row r="196" ht="14.25" customHeight="1">
      <c r="D196" s="38"/>
      <c r="L196" s="115"/>
      <c r="M196" s="115"/>
      <c r="N196" s="115"/>
    </row>
    <row r="197" ht="14.25" customHeight="1">
      <c r="D197" s="38"/>
      <c r="L197" s="115"/>
      <c r="M197" s="115"/>
      <c r="N197" s="115"/>
    </row>
    <row r="198" ht="14.25" customHeight="1">
      <c r="D198" s="38"/>
      <c r="L198" s="115"/>
      <c r="M198" s="115"/>
      <c r="N198" s="115"/>
    </row>
    <row r="199" ht="14.25" customHeight="1">
      <c r="D199" s="38"/>
      <c r="L199" s="115"/>
      <c r="M199" s="115"/>
      <c r="N199" s="115"/>
    </row>
    <row r="200" ht="14.25" customHeight="1">
      <c r="D200" s="38"/>
      <c r="L200" s="115"/>
      <c r="M200" s="115"/>
      <c r="N200" s="115"/>
    </row>
    <row r="201" ht="14.25" customHeight="1">
      <c r="D201" s="38"/>
      <c r="L201" s="115"/>
      <c r="M201" s="115"/>
      <c r="N201" s="115"/>
    </row>
    <row r="202" ht="14.25" customHeight="1">
      <c r="D202" s="38"/>
      <c r="L202" s="115"/>
      <c r="M202" s="115"/>
      <c r="N202" s="115"/>
    </row>
    <row r="203" ht="14.25" customHeight="1">
      <c r="D203" s="38"/>
      <c r="L203" s="115"/>
      <c r="M203" s="115"/>
      <c r="N203" s="115"/>
    </row>
    <row r="204" ht="14.25" customHeight="1">
      <c r="D204" s="38"/>
      <c r="L204" s="115"/>
      <c r="M204" s="115"/>
      <c r="N204" s="115"/>
    </row>
    <row r="205" ht="14.25" customHeight="1">
      <c r="D205" s="38"/>
      <c r="L205" s="115"/>
      <c r="M205" s="115"/>
      <c r="N205" s="115"/>
    </row>
    <row r="206" ht="14.25" customHeight="1">
      <c r="D206" s="38"/>
      <c r="L206" s="115"/>
      <c r="M206" s="115"/>
      <c r="N206" s="115"/>
    </row>
    <row r="207" ht="14.25" customHeight="1">
      <c r="D207" s="38"/>
      <c r="L207" s="115"/>
      <c r="M207" s="115"/>
      <c r="N207" s="115"/>
    </row>
    <row r="208" ht="14.25" customHeight="1">
      <c r="D208" s="38"/>
      <c r="L208" s="115"/>
      <c r="M208" s="115"/>
      <c r="N208" s="115"/>
    </row>
    <row r="209" ht="14.25" customHeight="1">
      <c r="D209" s="38"/>
      <c r="L209" s="115"/>
      <c r="M209" s="115"/>
      <c r="N209" s="115"/>
    </row>
    <row r="210" ht="14.25" customHeight="1">
      <c r="D210" s="38"/>
      <c r="L210" s="115"/>
      <c r="M210" s="115"/>
      <c r="N210" s="115"/>
    </row>
    <row r="211" ht="14.25" customHeight="1">
      <c r="D211" s="38"/>
      <c r="L211" s="115"/>
      <c r="M211" s="115"/>
      <c r="N211" s="115"/>
    </row>
    <row r="212" ht="14.25" customHeight="1">
      <c r="D212" s="38"/>
      <c r="L212" s="115"/>
      <c r="M212" s="115"/>
      <c r="N212" s="115"/>
    </row>
    <row r="213" ht="14.25" customHeight="1">
      <c r="D213" s="38"/>
      <c r="L213" s="115"/>
      <c r="M213" s="115"/>
      <c r="N213" s="115"/>
    </row>
    <row r="214" ht="14.25" customHeight="1">
      <c r="D214" s="38"/>
      <c r="L214" s="115"/>
      <c r="M214" s="115"/>
      <c r="N214" s="115"/>
    </row>
    <row r="215" ht="14.25" customHeight="1">
      <c r="D215" s="38"/>
      <c r="L215" s="115"/>
      <c r="M215" s="115"/>
      <c r="N215" s="115"/>
    </row>
    <row r="216" ht="14.25" customHeight="1">
      <c r="D216" s="38"/>
      <c r="L216" s="115"/>
      <c r="M216" s="115"/>
      <c r="N216" s="115"/>
    </row>
    <row r="217" ht="14.25" customHeight="1">
      <c r="D217" s="38"/>
      <c r="L217" s="115"/>
      <c r="M217" s="115"/>
      <c r="N217" s="115"/>
    </row>
    <row r="218" ht="14.25" customHeight="1">
      <c r="D218" s="38"/>
      <c r="L218" s="115"/>
      <c r="M218" s="115"/>
      <c r="N218" s="115"/>
    </row>
    <row r="219" ht="14.25" customHeight="1">
      <c r="D219" s="38"/>
      <c r="L219" s="115"/>
      <c r="M219" s="115"/>
      <c r="N219" s="115"/>
    </row>
    <row r="220" ht="14.25" customHeight="1">
      <c r="D220" s="38"/>
      <c r="L220" s="115"/>
      <c r="M220" s="115"/>
      <c r="N220" s="115"/>
    </row>
    <row r="221" ht="14.25" customHeight="1">
      <c r="D221" s="38"/>
      <c r="L221" s="115"/>
      <c r="M221" s="115"/>
      <c r="N221" s="115"/>
    </row>
    <row r="222" ht="14.25" customHeight="1">
      <c r="D222" s="38"/>
      <c r="L222" s="115"/>
      <c r="M222" s="115"/>
      <c r="N222" s="115"/>
    </row>
    <row r="223" ht="14.25" customHeight="1">
      <c r="D223" s="38"/>
      <c r="L223" s="115"/>
      <c r="M223" s="115"/>
      <c r="N223" s="115"/>
    </row>
    <row r="224" ht="14.25" customHeight="1">
      <c r="D224" s="38"/>
      <c r="L224" s="115"/>
      <c r="M224" s="115"/>
      <c r="N224" s="115"/>
    </row>
    <row r="225" ht="14.25" customHeight="1">
      <c r="D225" s="38"/>
      <c r="L225" s="115"/>
      <c r="M225" s="115"/>
      <c r="N225" s="115"/>
    </row>
    <row r="226" ht="14.25" customHeight="1">
      <c r="D226" s="38"/>
      <c r="L226" s="115"/>
      <c r="M226" s="115"/>
      <c r="N226" s="115"/>
    </row>
    <row r="227" ht="14.25" customHeight="1">
      <c r="D227" s="38"/>
      <c r="L227" s="115"/>
      <c r="M227" s="115"/>
      <c r="N227" s="115"/>
    </row>
    <row r="228" ht="14.25" customHeight="1">
      <c r="D228" s="38"/>
      <c r="L228" s="115"/>
      <c r="M228" s="115"/>
      <c r="N228" s="115"/>
    </row>
    <row r="229" ht="14.25" customHeight="1">
      <c r="D229" s="38"/>
      <c r="L229" s="115"/>
      <c r="M229" s="115"/>
      <c r="N229" s="115"/>
    </row>
    <row r="230" ht="14.25" customHeight="1">
      <c r="D230" s="38"/>
      <c r="L230" s="115"/>
      <c r="M230" s="115"/>
      <c r="N230" s="115"/>
    </row>
    <row r="231" ht="14.25" customHeight="1">
      <c r="D231" s="38"/>
      <c r="L231" s="115"/>
      <c r="M231" s="115"/>
      <c r="N231" s="115"/>
    </row>
    <row r="232" ht="14.25" customHeight="1">
      <c r="D232" s="38"/>
      <c r="L232" s="115"/>
      <c r="M232" s="115"/>
      <c r="N232" s="115"/>
    </row>
    <row r="233" ht="14.25" customHeight="1">
      <c r="D233" s="38"/>
      <c r="L233" s="115"/>
      <c r="M233" s="115"/>
      <c r="N233" s="115"/>
    </row>
    <row r="234" ht="14.25" customHeight="1">
      <c r="D234" s="38"/>
      <c r="L234" s="115"/>
      <c r="M234" s="115"/>
      <c r="N234" s="115"/>
    </row>
    <row r="235" ht="14.25" customHeight="1">
      <c r="D235" s="38"/>
      <c r="L235" s="115"/>
      <c r="M235" s="115"/>
      <c r="N235" s="115"/>
    </row>
    <row r="236" ht="14.25" customHeight="1">
      <c r="D236" s="38"/>
      <c r="L236" s="115"/>
      <c r="M236" s="115"/>
      <c r="N236" s="115"/>
    </row>
    <row r="237" ht="14.25" customHeight="1">
      <c r="D237" s="38"/>
      <c r="L237" s="115"/>
      <c r="M237" s="115"/>
      <c r="N237" s="115"/>
    </row>
    <row r="238" ht="14.25" customHeight="1">
      <c r="D238" s="38"/>
      <c r="L238" s="115"/>
      <c r="M238" s="115"/>
      <c r="N238" s="115"/>
    </row>
    <row r="239" ht="14.25" customHeight="1">
      <c r="D239" s="38"/>
      <c r="L239" s="115"/>
      <c r="M239" s="115"/>
      <c r="N239" s="115"/>
    </row>
    <row r="240" ht="14.25" customHeight="1">
      <c r="D240" s="38"/>
      <c r="L240" s="115"/>
      <c r="M240" s="115"/>
      <c r="N240" s="115"/>
    </row>
    <row r="241" ht="14.25" customHeight="1">
      <c r="D241" s="38"/>
      <c r="L241" s="115"/>
      <c r="M241" s="115"/>
      <c r="N241" s="115"/>
    </row>
    <row r="242" ht="14.25" customHeight="1">
      <c r="D242" s="38"/>
      <c r="L242" s="115"/>
      <c r="M242" s="115"/>
      <c r="N242" s="115"/>
    </row>
    <row r="243" ht="14.25" customHeight="1">
      <c r="D243" s="38"/>
      <c r="L243" s="115"/>
      <c r="M243" s="115"/>
      <c r="N243" s="115"/>
    </row>
    <row r="244" ht="14.25" customHeight="1">
      <c r="D244" s="38"/>
      <c r="L244" s="115"/>
      <c r="M244" s="115"/>
      <c r="N244" s="115"/>
    </row>
    <row r="245" ht="14.25" customHeight="1">
      <c r="D245" s="38"/>
      <c r="L245" s="115"/>
      <c r="M245" s="115"/>
      <c r="N245" s="115"/>
    </row>
    <row r="246" ht="14.25" customHeight="1">
      <c r="D246" s="38"/>
      <c r="L246" s="115"/>
      <c r="M246" s="115"/>
      <c r="N246" s="115"/>
    </row>
    <row r="247" ht="14.25" customHeight="1">
      <c r="D247" s="38"/>
      <c r="L247" s="115"/>
      <c r="M247" s="115"/>
      <c r="N247" s="115"/>
    </row>
    <row r="248" ht="14.25" customHeight="1">
      <c r="D248" s="38"/>
      <c r="L248" s="115"/>
      <c r="M248" s="115"/>
      <c r="N248" s="115"/>
    </row>
    <row r="249" ht="14.25" customHeight="1">
      <c r="D249" s="38"/>
      <c r="L249" s="115"/>
      <c r="M249" s="115"/>
      <c r="N249" s="115"/>
    </row>
    <row r="250" ht="14.25" customHeight="1">
      <c r="D250" s="38"/>
      <c r="L250" s="115"/>
      <c r="M250" s="115"/>
      <c r="N250" s="115"/>
    </row>
    <row r="251" ht="14.25" customHeight="1">
      <c r="D251" s="38"/>
      <c r="L251" s="115"/>
      <c r="M251" s="115"/>
      <c r="N251" s="115"/>
    </row>
    <row r="252" ht="14.25" customHeight="1">
      <c r="D252" s="38"/>
      <c r="L252" s="115"/>
      <c r="M252" s="115"/>
      <c r="N252" s="115"/>
    </row>
    <row r="253" ht="14.25" customHeight="1">
      <c r="D253" s="38"/>
      <c r="L253" s="115"/>
      <c r="M253" s="115"/>
      <c r="N253" s="115"/>
    </row>
    <row r="254" ht="14.25" customHeight="1">
      <c r="D254" s="38"/>
      <c r="L254" s="115"/>
      <c r="M254" s="115"/>
      <c r="N254" s="115"/>
    </row>
    <row r="255" ht="14.25" customHeight="1">
      <c r="D255" s="38"/>
      <c r="L255" s="115"/>
      <c r="M255" s="115"/>
      <c r="N255" s="115"/>
    </row>
    <row r="256" ht="14.25" customHeight="1">
      <c r="D256" s="38"/>
      <c r="L256" s="115"/>
      <c r="M256" s="115"/>
      <c r="N256" s="115"/>
    </row>
    <row r="257" ht="14.25" customHeight="1">
      <c r="D257" s="38"/>
      <c r="L257" s="115"/>
      <c r="M257" s="115"/>
      <c r="N257" s="115"/>
    </row>
    <row r="258" ht="14.25" customHeight="1">
      <c r="D258" s="38"/>
      <c r="L258" s="115"/>
      <c r="M258" s="115"/>
      <c r="N258" s="115"/>
    </row>
  </sheetData>
  <mergeCells count="5">
    <mergeCell ref="B3:E4"/>
    <mergeCell ref="F3:H3"/>
    <mergeCell ref="I3:K3"/>
    <mergeCell ref="L3:N3"/>
    <mergeCell ref="C5:C58"/>
  </mergeCells>
  <printOptions/>
  <pageMargins bottom="0.75" footer="0.0" header="0.0" left="0.7" right="0.7" top="0.75"/>
  <pageSetup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13.14"/>
    <col customWidth="1" min="4" max="4" width="8.71"/>
    <col customWidth="1" min="5" max="5" width="31.14"/>
    <col customWidth="1" min="6" max="6" width="14.71"/>
    <col customWidth="1" min="7" max="7" width="15.0"/>
    <col customWidth="1" min="8" max="8" width="16.29"/>
    <col customWidth="1" min="9" max="10" width="17.43"/>
    <col customWidth="1" min="11" max="11" width="15.43"/>
    <col customWidth="1" min="12" max="14" width="12.14"/>
  </cols>
  <sheetData>
    <row r="1" ht="14.25" customHeight="1">
      <c r="L1" s="102"/>
      <c r="M1" s="102"/>
      <c r="N1" s="102"/>
    </row>
    <row r="2" ht="14.25" customHeight="1">
      <c r="L2" s="102"/>
      <c r="M2" s="102"/>
      <c r="N2" s="102"/>
    </row>
    <row r="3" ht="14.25" customHeight="1">
      <c r="B3" s="103" t="s">
        <v>327</v>
      </c>
      <c r="C3" s="104"/>
      <c r="D3" s="104"/>
      <c r="E3" s="42"/>
      <c r="F3" s="105" t="s">
        <v>328</v>
      </c>
      <c r="G3" s="91"/>
      <c r="H3" s="40"/>
      <c r="I3" s="106" t="s">
        <v>329</v>
      </c>
      <c r="J3" s="91"/>
      <c r="K3" s="40"/>
      <c r="L3" s="107" t="s">
        <v>314</v>
      </c>
      <c r="M3" s="91"/>
      <c r="N3" s="40"/>
    </row>
    <row r="4" ht="14.25" customHeight="1">
      <c r="B4" s="44"/>
      <c r="C4" s="108"/>
      <c r="D4" s="108"/>
      <c r="E4" s="45"/>
      <c r="F4" s="29">
        <v>2022.0</v>
      </c>
      <c r="G4" s="29">
        <v>2023.0</v>
      </c>
      <c r="H4" s="29">
        <v>2024.0</v>
      </c>
      <c r="I4" s="29">
        <v>2022.0</v>
      </c>
      <c r="J4" s="29">
        <v>2023.0</v>
      </c>
      <c r="K4" s="29">
        <v>2024.0</v>
      </c>
      <c r="L4" s="29">
        <v>2022.0</v>
      </c>
      <c r="M4" s="29">
        <v>2023.0</v>
      </c>
      <c r="N4" s="29">
        <v>2024.0</v>
      </c>
    </row>
    <row r="5" ht="14.25" customHeight="1">
      <c r="B5" s="23">
        <v>1.0</v>
      </c>
      <c r="C5" s="143"/>
      <c r="D5" s="23" t="s">
        <v>15</v>
      </c>
      <c r="E5" s="28" t="s">
        <v>16</v>
      </c>
      <c r="F5" s="109">
        <v>6.37128E11</v>
      </c>
      <c r="G5" s="109">
        <v>4.10232E11</v>
      </c>
      <c r="H5" s="109">
        <v>5.20345E11</v>
      </c>
      <c r="I5" s="109">
        <v>2.429178E12</v>
      </c>
      <c r="J5" s="109">
        <v>1.498403E12</v>
      </c>
      <c r="K5" s="109">
        <v>1.707128E12</v>
      </c>
      <c r="L5" s="110" t="str">
        <f t="shared" ref="L5:N5" si="1">F5/I5</f>
        <v>0.26228</v>
      </c>
      <c r="M5" s="110" t="str">
        <f t="shared" si="1"/>
        <v>0.27378</v>
      </c>
      <c r="N5" s="110" t="str">
        <f t="shared" si="1"/>
        <v>0.30481</v>
      </c>
    </row>
    <row r="6" ht="14.25" customHeight="1">
      <c r="B6" s="23">
        <v>2.0</v>
      </c>
      <c r="C6" s="144"/>
      <c r="D6" s="23" t="s">
        <v>98</v>
      </c>
      <c r="E6" s="28" t="s">
        <v>99</v>
      </c>
      <c r="F6" s="109">
        <v>9.9336E10</v>
      </c>
      <c r="G6" s="109">
        <v>1.07866E11</v>
      </c>
      <c r="H6" s="109">
        <v>1.4036E11</v>
      </c>
      <c r="I6" s="109">
        <v>4.64308E11</v>
      </c>
      <c r="J6" s="109">
        <v>5.03664E11</v>
      </c>
      <c r="K6" s="109">
        <v>6.67728E11</v>
      </c>
      <c r="L6" s="110" t="str">
        <f t="shared" ref="L6:N6" si="2">F6/I6</f>
        <v>0.21394</v>
      </c>
      <c r="M6" s="110" t="str">
        <f t="shared" si="2"/>
        <v>0.21416</v>
      </c>
      <c r="N6" s="110" t="str">
        <f t="shared" si="2"/>
        <v>0.21021</v>
      </c>
    </row>
    <row r="7" ht="14.25" customHeight="1">
      <c r="B7" s="23">
        <v>3.0</v>
      </c>
      <c r="C7" s="144"/>
      <c r="D7" s="23" t="s">
        <v>78</v>
      </c>
      <c r="E7" s="28" t="s">
        <v>79</v>
      </c>
      <c r="F7" s="109">
        <v>6.5931E11</v>
      </c>
      <c r="G7" s="109">
        <v>7.98322E11</v>
      </c>
      <c r="H7" s="109">
        <v>7.92102E11</v>
      </c>
      <c r="I7" s="109">
        <v>3.566789E12</v>
      </c>
      <c r="J7" s="109">
        <v>4.282347E12</v>
      </c>
      <c r="K7" s="109">
        <v>4.012185E12</v>
      </c>
      <c r="L7" s="110" t="str">
        <f t="shared" ref="L7:N7" si="3">F7/I7</f>
        <v>0.18485</v>
      </c>
      <c r="M7" s="110" t="str">
        <f t="shared" si="3"/>
        <v>0.18642</v>
      </c>
      <c r="N7" s="110" t="str">
        <f t="shared" si="3"/>
        <v>0.19742</v>
      </c>
    </row>
    <row r="8" ht="14.25" customHeight="1">
      <c r="B8" s="23">
        <v>4.0</v>
      </c>
      <c r="C8" s="144"/>
      <c r="D8" s="23" t="s">
        <v>104</v>
      </c>
      <c r="E8" s="28" t="s">
        <v>105</v>
      </c>
      <c r="F8" s="112">
        <v>2.08633171875E11</v>
      </c>
      <c r="G8" s="112">
        <v>2.08633171875E11</v>
      </c>
      <c r="H8" s="112">
        <v>1.19782359375E11</v>
      </c>
      <c r="I8" s="112">
        <v>5.39184546875E11</v>
      </c>
      <c r="J8" s="112">
        <v>5.39184546875E11</v>
      </c>
      <c r="K8" s="112">
        <v>3.18069390625E11</v>
      </c>
      <c r="L8" s="110" t="str">
        <f t="shared" ref="L8:N8" si="4">F8/I8</f>
        <v>0.38694</v>
      </c>
      <c r="M8" s="110" t="str">
        <f t="shared" si="4"/>
        <v>0.38694</v>
      </c>
      <c r="N8" s="110" t="str">
        <f t="shared" si="4"/>
        <v>0.37659</v>
      </c>
    </row>
    <row r="9" ht="14.25" customHeight="1">
      <c r="B9" s="23">
        <v>5.0</v>
      </c>
      <c r="C9" s="144"/>
      <c r="D9" s="23" t="s">
        <v>18</v>
      </c>
      <c r="E9" s="28" t="s">
        <v>19</v>
      </c>
      <c r="F9" s="109">
        <v>1.26601E11</v>
      </c>
      <c r="G9" s="109">
        <v>1.38155E11</v>
      </c>
      <c r="H9" s="109">
        <v>5.634E10</v>
      </c>
      <c r="I9" s="109">
        <v>6.49844E11</v>
      </c>
      <c r="J9" s="109">
        <v>7.33895E11</v>
      </c>
      <c r="K9" s="109">
        <v>2.3498E11</v>
      </c>
      <c r="L9" s="110" t="str">
        <f t="shared" ref="L9:N9" si="5">F9/I9</f>
        <v>0.19482</v>
      </c>
      <c r="M9" s="110" t="str">
        <f t="shared" si="5"/>
        <v>0.18825</v>
      </c>
      <c r="N9" s="110" t="str">
        <f t="shared" si="5"/>
        <v>0.23977</v>
      </c>
    </row>
    <row r="10" ht="14.25" customHeight="1">
      <c r="B10" s="23">
        <v>6.0</v>
      </c>
      <c r="C10" s="144"/>
      <c r="D10" s="23" t="s">
        <v>108</v>
      </c>
      <c r="E10" s="28" t="s">
        <v>109</v>
      </c>
      <c r="F10" s="109">
        <v>3.265697688E10</v>
      </c>
      <c r="G10" s="109">
        <v>3.3251940941E10</v>
      </c>
      <c r="H10" s="109">
        <v>2.7234137929E10</v>
      </c>
      <c r="I10" s="109">
        <v>1.53914313784E11</v>
      </c>
      <c r="J10" s="109">
        <v>1.6067840548E11</v>
      </c>
      <c r="K10" s="109">
        <v>1.23791536043E11</v>
      </c>
      <c r="L10" s="110" t="str">
        <f t="shared" ref="L10:N10" si="6">F10/I10</f>
        <v>0.21218</v>
      </c>
      <c r="M10" s="110" t="str">
        <f t="shared" si="6"/>
        <v>0.20695</v>
      </c>
      <c r="N10" s="110" t="str">
        <f t="shared" si="6"/>
        <v>0.22000</v>
      </c>
    </row>
    <row r="11" ht="14.25" customHeight="1">
      <c r="B11" s="23">
        <v>7.0</v>
      </c>
      <c r="C11" s="144"/>
      <c r="D11" s="23" t="s">
        <v>222</v>
      </c>
      <c r="E11" s="28" t="s">
        <v>223</v>
      </c>
      <c r="F11" s="109">
        <v>6.2444562911E10</v>
      </c>
      <c r="G11" s="109">
        <v>4.2232841486E10</v>
      </c>
      <c r="H11" s="109">
        <v>8.7806165261E10</v>
      </c>
      <c r="I11" s="109">
        <v>2.83149105983E11</v>
      </c>
      <c r="J11" s="109">
        <v>1.9580762111E11</v>
      </c>
      <c r="K11" s="109">
        <v>4.1274868171E11</v>
      </c>
      <c r="L11" s="110" t="str">
        <f t="shared" ref="L11:N11" si="7">F11/I11</f>
        <v>0.22054</v>
      </c>
      <c r="M11" s="110" t="str">
        <f t="shared" si="7"/>
        <v>0.21569</v>
      </c>
      <c r="N11" s="110" t="str">
        <f t="shared" si="7"/>
        <v>0.21274</v>
      </c>
    </row>
    <row r="12" ht="14.25" customHeight="1">
      <c r="B12" s="23">
        <v>8.0</v>
      </c>
      <c r="C12" s="144"/>
      <c r="D12" s="23" t="s">
        <v>74</v>
      </c>
      <c r="E12" s="28" t="s">
        <v>75</v>
      </c>
      <c r="F12" s="109">
        <v>5.3264811906E10</v>
      </c>
      <c r="G12" s="109">
        <v>8.8115971123E10</v>
      </c>
      <c r="H12" s="109">
        <v>1.30820142985E11</v>
      </c>
      <c r="I12" s="109">
        <v>2.48863660595E11</v>
      </c>
      <c r="J12" s="109">
        <v>4.12208114325E11</v>
      </c>
      <c r="K12" s="109">
        <v>6.04839392838E11</v>
      </c>
      <c r="L12" s="110" t="str">
        <f t="shared" ref="L12:N12" si="8">F12/I12</f>
        <v>0.21403</v>
      </c>
      <c r="M12" s="110" t="str">
        <f t="shared" si="8"/>
        <v>0.21377</v>
      </c>
      <c r="N12" s="110" t="str">
        <f t="shared" si="8"/>
        <v>0.21629</v>
      </c>
    </row>
    <row r="13" ht="14.25" customHeight="1">
      <c r="B13" s="23">
        <v>9.0</v>
      </c>
      <c r="C13" s="144"/>
      <c r="D13" s="23" t="s">
        <v>28</v>
      </c>
      <c r="E13" s="28" t="s">
        <v>29</v>
      </c>
      <c r="F13" s="109">
        <v>2.82128E11</v>
      </c>
      <c r="G13" s="109">
        <v>3.19378E11</v>
      </c>
      <c r="H13" s="109">
        <v>3.85367E11</v>
      </c>
      <c r="I13" s="109">
        <v>1.34271E12</v>
      </c>
      <c r="J13" s="109">
        <v>1.561158E12</v>
      </c>
      <c r="K13" s="109">
        <v>1.904792E12</v>
      </c>
      <c r="L13" s="110" t="str">
        <f t="shared" ref="L13:N13" si="9">F13/I13</f>
        <v>0.21012</v>
      </c>
      <c r="M13" s="110" t="str">
        <f t="shared" si="9"/>
        <v>0.20458</v>
      </c>
      <c r="N13" s="110" t="str">
        <f t="shared" si="9"/>
        <v>0.20231</v>
      </c>
    </row>
    <row r="14" ht="14.25" customHeight="1">
      <c r="B14" s="23">
        <v>10.0</v>
      </c>
      <c r="C14" s="144"/>
      <c r="D14" s="23" t="s">
        <v>24</v>
      </c>
      <c r="E14" s="28" t="s">
        <v>25</v>
      </c>
      <c r="F14" s="109">
        <v>6.0682E11</v>
      </c>
      <c r="G14" s="109">
        <v>6.78797E11</v>
      </c>
      <c r="H14" s="109">
        <v>1.544753E12</v>
      </c>
      <c r="I14" s="109">
        <v>3.54E12</v>
      </c>
      <c r="J14" s="109">
        <v>2.996885E12</v>
      </c>
      <c r="K14" s="109">
        <v>5.256354E12</v>
      </c>
      <c r="L14" s="110" t="str">
        <f t="shared" ref="L14:N14" si="10">F14/I14</f>
        <v>0.17142</v>
      </c>
      <c r="M14" s="110" t="str">
        <f t="shared" si="10"/>
        <v>0.22650</v>
      </c>
      <c r="N14" s="110" t="str">
        <f t="shared" si="10"/>
        <v>0.29388</v>
      </c>
    </row>
    <row r="15" ht="14.25" customHeight="1">
      <c r="B15" s="23">
        <v>11.0</v>
      </c>
      <c r="C15" s="144"/>
      <c r="D15" s="23" t="s">
        <v>110</v>
      </c>
      <c r="E15" s="28" t="s">
        <v>111</v>
      </c>
      <c r="F15" s="109">
        <v>1.02701E11</v>
      </c>
      <c r="G15" s="109">
        <v>1.20789E11</v>
      </c>
      <c r="H15" s="109">
        <v>1.28832E11</v>
      </c>
      <c r="I15" s="109">
        <v>4.76679E11</v>
      </c>
      <c r="J15" s="109">
        <v>5.22563E11</v>
      </c>
      <c r="K15" s="109">
        <v>4.48987E11</v>
      </c>
      <c r="L15" s="110" t="str">
        <f t="shared" ref="L15:N15" si="11">F15/I15</f>
        <v>0.21545</v>
      </c>
      <c r="M15" s="110" t="str">
        <f t="shared" si="11"/>
        <v>0.23115</v>
      </c>
      <c r="N15" s="110" t="str">
        <f t="shared" si="11"/>
        <v>0.28694</v>
      </c>
    </row>
    <row r="16" ht="14.25" customHeight="1">
      <c r="B16" s="23">
        <v>12.0</v>
      </c>
      <c r="C16" s="144"/>
      <c r="D16" s="23" t="s">
        <v>26</v>
      </c>
      <c r="E16" s="28" t="s">
        <v>27</v>
      </c>
      <c r="F16" s="109">
        <v>7.7733481954E10</v>
      </c>
      <c r="G16" s="109">
        <v>5.2435547763E10</v>
      </c>
      <c r="H16" s="109">
        <v>7.4830790289E10</v>
      </c>
      <c r="I16" s="109">
        <v>3.30140150685E11</v>
      </c>
      <c r="J16" s="109">
        <v>1.9857453683E11</v>
      </c>
      <c r="K16" s="109">
        <v>2.89685678422E11</v>
      </c>
      <c r="L16" s="110" t="str">
        <f t="shared" ref="L16:N16" si="12">F16/I16</f>
        <v>0.23546</v>
      </c>
      <c r="M16" s="110" t="str">
        <f t="shared" si="12"/>
        <v>0.26406</v>
      </c>
      <c r="N16" s="110" t="str">
        <f t="shared" si="12"/>
        <v>0.25832</v>
      </c>
    </row>
    <row r="17" ht="14.25" customHeight="1">
      <c r="B17" s="23">
        <v>13.0</v>
      </c>
      <c r="C17" s="144"/>
      <c r="D17" s="23" t="s">
        <v>30</v>
      </c>
      <c r="E17" s="28" t="s">
        <v>31</v>
      </c>
      <c r="F17" s="109">
        <v>6.4145853E10</v>
      </c>
      <c r="G17" s="109">
        <v>5.1518611E10</v>
      </c>
      <c r="H17" s="109">
        <v>3.8989742E10</v>
      </c>
      <c r="I17" s="109">
        <v>2.9421166E11</v>
      </c>
      <c r="J17" s="109">
        <v>2.51130452E11</v>
      </c>
      <c r="K17" s="109">
        <v>1.81357141E11</v>
      </c>
      <c r="L17" s="110" t="str">
        <f t="shared" ref="L17:N17" si="13">F17/I17</f>
        <v>0.21803</v>
      </c>
      <c r="M17" s="110" t="str">
        <f t="shared" si="13"/>
        <v>0.20515</v>
      </c>
      <c r="N17" s="110" t="str">
        <f t="shared" si="13"/>
        <v>0.21499</v>
      </c>
    </row>
    <row r="18" ht="14.25" customHeight="1">
      <c r="B18" s="23">
        <v>14.0</v>
      </c>
      <c r="C18" s="144"/>
      <c r="D18" s="23" t="s">
        <v>120</v>
      </c>
      <c r="E18" s="28" t="s">
        <v>121</v>
      </c>
      <c r="F18" s="109">
        <v>1.1667E11</v>
      </c>
      <c r="G18" s="109">
        <v>9.4054E10</v>
      </c>
      <c r="H18" s="109">
        <v>1.01864E11</v>
      </c>
      <c r="I18" s="109">
        <v>4.98775E11</v>
      </c>
      <c r="J18" s="109">
        <v>4.13132E11</v>
      </c>
      <c r="K18" s="109">
        <v>4.65596E11</v>
      </c>
      <c r="L18" s="110" t="str">
        <f t="shared" ref="L18:N18" si="14">F18/I18</f>
        <v>0.23391</v>
      </c>
      <c r="M18" s="110" t="str">
        <f t="shared" si="14"/>
        <v>0.22766</v>
      </c>
      <c r="N18" s="110" t="str">
        <f t="shared" si="14"/>
        <v>0.21878</v>
      </c>
    </row>
    <row r="19" ht="14.25" customHeight="1">
      <c r="B19" s="23">
        <v>15.0</v>
      </c>
      <c r="C19" s="144"/>
      <c r="D19" s="23" t="s">
        <v>118</v>
      </c>
      <c r="E19" s="28" t="s">
        <v>119</v>
      </c>
      <c r="F19" s="109">
        <v>4.381583263E9</v>
      </c>
      <c r="G19" s="109">
        <v>3.495735345E9</v>
      </c>
      <c r="H19" s="109">
        <v>3.477193797E9</v>
      </c>
      <c r="I19" s="109">
        <v>2.5763792382E10</v>
      </c>
      <c r="J19" s="109">
        <v>1.5583556884E10</v>
      </c>
      <c r="K19" s="109">
        <v>1.5932353861E10</v>
      </c>
      <c r="L19" s="110" t="str">
        <f t="shared" ref="L19:N19" si="15">F19/I19</f>
        <v>0.17007</v>
      </c>
      <c r="M19" s="110" t="str">
        <f t="shared" si="15"/>
        <v>0.22432</v>
      </c>
      <c r="N19" s="110" t="str">
        <f t="shared" si="15"/>
        <v>0.21825</v>
      </c>
    </row>
    <row r="20" ht="14.25" customHeight="1">
      <c r="B20" s="23">
        <v>16.0</v>
      </c>
      <c r="C20" s="144"/>
      <c r="D20" s="23" t="s">
        <v>32</v>
      </c>
      <c r="E20" s="28" t="s">
        <v>33</v>
      </c>
      <c r="F20" s="109">
        <v>4.03641E11</v>
      </c>
      <c r="G20" s="109">
        <v>2.98978E11</v>
      </c>
      <c r="H20" s="109">
        <v>4.98641E11</v>
      </c>
      <c r="I20" s="109">
        <v>1.610228E12</v>
      </c>
      <c r="J20" s="109">
        <v>1.140643E12</v>
      </c>
      <c r="K20" s="109">
        <v>1.640016E12</v>
      </c>
      <c r="L20" s="110" t="str">
        <f t="shared" ref="L20:N20" si="16">F20/I20</f>
        <v>0.25067</v>
      </c>
      <c r="M20" s="110" t="str">
        <f t="shared" si="16"/>
        <v>0.26211</v>
      </c>
      <c r="N20" s="110" t="str">
        <f t="shared" si="16"/>
        <v>0.30405</v>
      </c>
    </row>
    <row r="21" ht="14.25" customHeight="1">
      <c r="B21" s="23">
        <v>17.0</v>
      </c>
      <c r="C21" s="144"/>
      <c r="D21" s="23" t="s">
        <v>126</v>
      </c>
      <c r="E21" s="28" t="s">
        <v>127</v>
      </c>
      <c r="F21" s="109">
        <v>2.53939E11</v>
      </c>
      <c r="G21" s="109">
        <v>2.00201E11</v>
      </c>
      <c r="H21" s="109">
        <v>2.18259E11</v>
      </c>
      <c r="I21" s="109">
        <v>1.09653E12</v>
      </c>
      <c r="J21" s="109">
        <v>8.88575E11</v>
      </c>
      <c r="K21" s="109">
        <v>9.56587E11</v>
      </c>
      <c r="L21" s="110" t="str">
        <f t="shared" ref="L21:N21" si="17">F21/I21</f>
        <v>0.23158</v>
      </c>
      <c r="M21" s="110" t="str">
        <f t="shared" si="17"/>
        <v>0.22531</v>
      </c>
      <c r="N21" s="110" t="str">
        <f t="shared" si="17"/>
        <v>0.22816</v>
      </c>
    </row>
    <row r="22" ht="14.25" customHeight="1">
      <c r="B22" s="23">
        <v>18.0</v>
      </c>
      <c r="C22" s="144"/>
      <c r="D22" s="23" t="s">
        <v>134</v>
      </c>
      <c r="E22" s="28" t="s">
        <v>135</v>
      </c>
      <c r="F22" s="109">
        <v>2.44386026423E11</v>
      </c>
      <c r="G22" s="109">
        <v>8.8172686286E10</v>
      </c>
      <c r="H22" s="109">
        <v>2.03224933785E11</v>
      </c>
      <c r="I22" s="109">
        <v>9.93696965685E11</v>
      </c>
      <c r="J22" s="109">
        <v>2.49851687118E11</v>
      </c>
      <c r="K22" s="109">
        <v>7.74678975566E11</v>
      </c>
      <c r="L22" s="110" t="str">
        <f t="shared" ref="L22:N22" si="18">F22/I22</f>
        <v>0.24594</v>
      </c>
      <c r="M22" s="110" t="str">
        <f t="shared" si="18"/>
        <v>0.35290</v>
      </c>
      <c r="N22" s="110" t="str">
        <f t="shared" si="18"/>
        <v>0.26233</v>
      </c>
    </row>
    <row r="23" ht="14.25" customHeight="1">
      <c r="B23" s="23">
        <v>19.0</v>
      </c>
      <c r="C23" s="144"/>
      <c r="D23" s="23" t="s">
        <v>234</v>
      </c>
      <c r="E23" s="28" t="s">
        <v>235</v>
      </c>
      <c r="F23" s="109" t="str">
        <f>9367628*15567.5</f>
        <v>145,830,548,890</v>
      </c>
      <c r="G23" s="109" t="str">
        <f>7775924*15416</f>
        <v>119,873,644,384</v>
      </c>
      <c r="H23" s="109" t="str">
        <f>4962094*16157</f>
        <v>80,172,552,758</v>
      </c>
      <c r="I23" s="109" t="str">
        <f>42194928*15567.5</f>
        <v>656,869,541,640</v>
      </c>
      <c r="J23" s="109" t="str">
        <f>32509362*15416</f>
        <v>501,164,324,592</v>
      </c>
      <c r="K23" s="109" t="str">
        <f>14556753*16157</f>
        <v>235,193,458,221</v>
      </c>
      <c r="L23" s="110" t="str">
        <f t="shared" ref="L23:N23" si="19">F23/I23</f>
        <v>0.22201</v>
      </c>
      <c r="M23" s="110" t="str">
        <f t="shared" si="19"/>
        <v>0.23919</v>
      </c>
      <c r="N23" s="110" t="str">
        <f t="shared" si="19"/>
        <v>0.34088</v>
      </c>
    </row>
    <row r="24" ht="14.25" customHeight="1">
      <c r="B24" s="23">
        <v>20.0</v>
      </c>
      <c r="C24" s="144"/>
      <c r="D24" s="23" t="s">
        <v>40</v>
      </c>
      <c r="E24" s="28" t="s">
        <v>41</v>
      </c>
      <c r="F24" s="109">
        <v>8.66779E11</v>
      </c>
      <c r="G24" s="109">
        <v>1.5363E12</v>
      </c>
      <c r="H24" s="109">
        <v>4.1975E11</v>
      </c>
      <c r="I24" s="109">
        <v>3.646521E12</v>
      </c>
      <c r="J24" s="109">
        <v>6.860816E12</v>
      </c>
      <c r="K24" s="109">
        <v>1.400554E12</v>
      </c>
      <c r="L24" s="110" t="str">
        <f t="shared" ref="L24:N24" si="20">F24/I24</f>
        <v>0.23770</v>
      </c>
      <c r="M24" s="110" t="str">
        <f t="shared" si="20"/>
        <v>0.22392</v>
      </c>
      <c r="N24" s="110" t="str">
        <f t="shared" si="20"/>
        <v>0.29970</v>
      </c>
    </row>
    <row r="25" ht="14.25" customHeight="1">
      <c r="B25" s="23">
        <v>21.0</v>
      </c>
      <c r="C25" s="144"/>
      <c r="D25" s="23" t="s">
        <v>38</v>
      </c>
      <c r="E25" s="28" t="s">
        <v>39</v>
      </c>
      <c r="F25" s="109">
        <v>1.52537429078E11</v>
      </c>
      <c r="G25" s="109">
        <v>1.81549335257E11</v>
      </c>
      <c r="H25" s="109">
        <v>1.71684464786E11</v>
      </c>
      <c r="I25" s="109">
        <v>6.74251464663E11</v>
      </c>
      <c r="J25" s="109">
        <v>7.83016628548E11</v>
      </c>
      <c r="K25" s="109">
        <v>8.5887900927E11</v>
      </c>
      <c r="L25" s="110" t="str">
        <f t="shared" ref="L25:N25" si="21">F25/I25</f>
        <v>0.22623</v>
      </c>
      <c r="M25" s="110" t="str">
        <f t="shared" si="21"/>
        <v>0.23186</v>
      </c>
      <c r="N25" s="110" t="str">
        <f t="shared" si="21"/>
        <v>0.19989</v>
      </c>
    </row>
    <row r="26" ht="14.25" customHeight="1">
      <c r="B26" s="23">
        <v>22.0</v>
      </c>
      <c r="C26" s="144"/>
      <c r="D26" s="23" t="s">
        <v>140</v>
      </c>
      <c r="E26" s="28" t="s">
        <v>141</v>
      </c>
      <c r="F26" s="109">
        <v>1.7439E10</v>
      </c>
      <c r="G26" s="109">
        <v>9.685E9</v>
      </c>
      <c r="H26" s="109">
        <v>1.8561E10</v>
      </c>
      <c r="I26" s="109">
        <v>9.3257E10</v>
      </c>
      <c r="J26" s="109">
        <v>1.2071E10</v>
      </c>
      <c r="K26" s="109">
        <v>8.0971E10</v>
      </c>
      <c r="L26" s="110" t="str">
        <f t="shared" ref="L26:N26" si="22">F26/I26</f>
        <v>0.18700</v>
      </c>
      <c r="M26" s="110" t="str">
        <f t="shared" si="22"/>
        <v>0.80234</v>
      </c>
      <c r="N26" s="110" t="str">
        <f t="shared" si="22"/>
        <v>0.22923</v>
      </c>
    </row>
    <row r="27" ht="14.25" customHeight="1">
      <c r="B27" s="23">
        <v>23.0</v>
      </c>
      <c r="C27" s="144"/>
      <c r="D27" s="23" t="s">
        <v>42</v>
      </c>
      <c r="E27" s="28" t="s">
        <v>43</v>
      </c>
      <c r="F27" s="112">
        <v>1.949315E12</v>
      </c>
      <c r="G27" s="109">
        <v>2.214402E12</v>
      </c>
      <c r="H27" s="109">
        <v>2.039843E12</v>
      </c>
      <c r="I27" s="109">
        <v>8.273059E12</v>
      </c>
      <c r="J27" s="109">
        <v>1.0311213E13</v>
      </c>
      <c r="K27" s="109">
        <v>8.685617E12</v>
      </c>
      <c r="L27" s="110" t="str">
        <f>IFERROR(F27/I27, 0)</f>
        <v>0.23562</v>
      </c>
      <c r="M27" s="110" t="str">
        <f t="shared" ref="M27:N27" si="23">G27/J27</f>
        <v>0.21476</v>
      </c>
      <c r="N27" s="110" t="str">
        <f t="shared" si="23"/>
        <v>0.23485</v>
      </c>
    </row>
    <row r="28" ht="14.25" customHeight="1">
      <c r="B28" s="23">
        <v>24.0</v>
      </c>
      <c r="C28" s="144"/>
      <c r="D28" s="23" t="s">
        <v>44</v>
      </c>
      <c r="E28" s="28" t="s">
        <v>45</v>
      </c>
      <c r="F28" s="109">
        <v>1.803191E12</v>
      </c>
      <c r="G28" s="109">
        <v>2.97957E12</v>
      </c>
      <c r="H28" s="109">
        <v>2.68596E12</v>
      </c>
      <c r="I28" s="109">
        <v>7.525385E12</v>
      </c>
      <c r="J28" s="109">
        <v>1.1444693E13</v>
      </c>
      <c r="K28" s="109">
        <v>1.1499337E13</v>
      </c>
      <c r="L28" s="110" t="str">
        <f t="shared" ref="L28:N28" si="24">F28/I28</f>
        <v>0.23961</v>
      </c>
      <c r="M28" s="110" t="str">
        <f t="shared" si="24"/>
        <v>0.26035</v>
      </c>
      <c r="N28" s="110" t="str">
        <f t="shared" si="24"/>
        <v>0.23358</v>
      </c>
    </row>
    <row r="29" ht="14.25" customHeight="1">
      <c r="B29" s="23">
        <v>25.0</v>
      </c>
      <c r="C29" s="144"/>
      <c r="D29" s="23" t="s">
        <v>46</v>
      </c>
      <c r="E29" s="28" t="s">
        <v>47</v>
      </c>
      <c r="F29" s="109">
        <v>3.126196E12</v>
      </c>
      <c r="G29" s="109">
        <v>4.121651E12</v>
      </c>
      <c r="H29" s="109">
        <v>3.962286E12</v>
      </c>
      <c r="I29" s="109">
        <v>1.2318765E13</v>
      </c>
      <c r="J29" s="109">
        <v>1.5615384E13</v>
      </c>
      <c r="K29" s="109">
        <v>1.7039782E13</v>
      </c>
      <c r="L29" s="110" t="str">
        <f t="shared" ref="L29:N29" si="25">F29/I29</f>
        <v>0.25378</v>
      </c>
      <c r="M29" s="110" t="str">
        <f t="shared" si="25"/>
        <v>0.26395</v>
      </c>
      <c r="N29" s="110" t="str">
        <f t="shared" si="25"/>
        <v>0.23253</v>
      </c>
    </row>
    <row r="30" ht="14.25" customHeight="1">
      <c r="B30" s="23">
        <v>26.0</v>
      </c>
      <c r="C30" s="144"/>
      <c r="D30" s="23" t="s">
        <v>150</v>
      </c>
      <c r="E30" s="28" t="s">
        <v>151</v>
      </c>
      <c r="F30" s="109">
        <v>8.327507522E9</v>
      </c>
      <c r="G30" s="109">
        <v>9.254462122E9</v>
      </c>
      <c r="H30" s="109">
        <v>8.143567946E9</v>
      </c>
      <c r="I30" s="109">
        <v>3.2279830698E10</v>
      </c>
      <c r="J30" s="109">
        <v>3.6218089397E10</v>
      </c>
      <c r="K30" s="109">
        <v>2.9384812158E10</v>
      </c>
      <c r="L30" s="110" t="str">
        <f t="shared" ref="L30:N30" si="26">F30/I30</f>
        <v>0.25798</v>
      </c>
      <c r="M30" s="110" t="str">
        <f t="shared" si="26"/>
        <v>0.25552</v>
      </c>
      <c r="N30" s="110" t="str">
        <f t="shared" si="26"/>
        <v>0.27714</v>
      </c>
    </row>
    <row r="31" ht="14.25" customHeight="1">
      <c r="B31" s="23">
        <v>27.0</v>
      </c>
      <c r="C31" s="144"/>
      <c r="D31" s="23" t="s">
        <v>48</v>
      </c>
      <c r="E31" s="28" t="s">
        <v>49</v>
      </c>
      <c r="F31" s="109">
        <v>4.63598E11</v>
      </c>
      <c r="G31" s="109">
        <v>3.15315E11</v>
      </c>
      <c r="H31" s="109">
        <v>1.029134E12</v>
      </c>
      <c r="I31" s="109">
        <v>1.954529E12</v>
      </c>
      <c r="J31" s="109">
        <v>1.261237E12</v>
      </c>
      <c r="K31" s="109">
        <v>4.241472E12</v>
      </c>
      <c r="L31" s="110" t="str">
        <f t="shared" ref="L31:N31" si="27">F31/I31</f>
        <v>0.23719</v>
      </c>
      <c r="M31" s="110" t="str">
        <f t="shared" si="27"/>
        <v>0.25000</v>
      </c>
      <c r="N31" s="110" t="str">
        <f t="shared" si="27"/>
        <v>0.24264</v>
      </c>
    </row>
    <row r="32" ht="14.25" customHeight="1">
      <c r="B32" s="23">
        <v>28.0</v>
      </c>
      <c r="C32" s="144"/>
      <c r="D32" s="23" t="s">
        <v>178</v>
      </c>
      <c r="E32" s="28" t="s">
        <v>179</v>
      </c>
      <c r="F32" s="109">
        <v>3.3019161585E10</v>
      </c>
      <c r="G32" s="109">
        <v>2.2638254124E10</v>
      </c>
      <c r="H32" s="109">
        <v>3.911589008E10</v>
      </c>
      <c r="I32" s="109">
        <v>1.50389911968E11</v>
      </c>
      <c r="J32" s="109">
        <v>1.02980669381E11</v>
      </c>
      <c r="K32" s="109">
        <v>1.85996427344E11</v>
      </c>
      <c r="L32" s="110" t="str">
        <f t="shared" ref="L32:N32" si="28">F32/I32</f>
        <v>0.21956</v>
      </c>
      <c r="M32" s="110" t="str">
        <f t="shared" si="28"/>
        <v>0.21983</v>
      </c>
      <c r="N32" s="110" t="str">
        <f t="shared" si="28"/>
        <v>0.21030</v>
      </c>
    </row>
    <row r="33" ht="14.25" customHeight="1">
      <c r="B33" s="23">
        <v>29.0</v>
      </c>
      <c r="C33" s="144"/>
      <c r="D33" s="23" t="s">
        <v>162</v>
      </c>
      <c r="E33" s="28" t="s">
        <v>163</v>
      </c>
      <c r="F33" s="109">
        <v>1.324690939E10</v>
      </c>
      <c r="G33" s="109">
        <v>1.379473487E10</v>
      </c>
      <c r="H33" s="109">
        <v>1.4613524014E10</v>
      </c>
      <c r="I33" s="109">
        <v>6.1240255109E10</v>
      </c>
      <c r="J33" s="109">
        <v>6.5034627432E10</v>
      </c>
      <c r="K33" s="109">
        <v>6.9494992663E10</v>
      </c>
      <c r="L33" s="110" t="str">
        <f t="shared" ref="L33:N33" si="29">F33/I33</f>
        <v>0.21631</v>
      </c>
      <c r="M33" s="110" t="str">
        <f t="shared" si="29"/>
        <v>0.21211</v>
      </c>
      <c r="N33" s="110" t="str">
        <f t="shared" si="29"/>
        <v>0.21028</v>
      </c>
    </row>
    <row r="34" ht="14.25" customHeight="1">
      <c r="B34" s="23">
        <v>30.0</v>
      </c>
      <c r="C34" s="144"/>
      <c r="D34" s="23" t="s">
        <v>68</v>
      </c>
      <c r="E34" s="28" t="s">
        <v>69</v>
      </c>
      <c r="F34" s="109">
        <v>2.4824E11</v>
      </c>
      <c r="G34" s="109">
        <v>1.50753E11</v>
      </c>
      <c r="H34" s="109">
        <v>2.97399E11</v>
      </c>
      <c r="I34" s="109">
        <v>1.283525E12</v>
      </c>
      <c r="J34" s="109">
        <v>9.11426E11</v>
      </c>
      <c r="K34" s="109">
        <v>1.773053E12</v>
      </c>
      <c r="L34" s="110" t="str">
        <f t="shared" ref="L34:N34" si="30">F34/I34</f>
        <v>0.19340</v>
      </c>
      <c r="M34" s="110" t="str">
        <f t="shared" si="30"/>
        <v>0.16540</v>
      </c>
      <c r="N34" s="110" t="str">
        <f t="shared" si="30"/>
        <v>0.16773</v>
      </c>
    </row>
    <row r="35" ht="14.25" customHeight="1">
      <c r="B35" s="23">
        <v>31.0</v>
      </c>
      <c r="C35" s="144"/>
      <c r="D35" s="23" t="s">
        <v>52</v>
      </c>
      <c r="E35" s="28" t="s">
        <v>53</v>
      </c>
      <c r="F35" s="109">
        <v>5.611557E9</v>
      </c>
      <c r="G35" s="109">
        <v>4.8232867E10</v>
      </c>
      <c r="H35" s="109">
        <v>1.50206967E11</v>
      </c>
      <c r="I35" s="109">
        <v>3.1829214E10</v>
      </c>
      <c r="J35" s="109">
        <v>1.11395613E11</v>
      </c>
      <c r="K35" s="109">
        <v>6.3816455E11</v>
      </c>
      <c r="L35" s="110" t="str">
        <f t="shared" ref="L35:N35" si="31">F35/I35</f>
        <v>0.17630</v>
      </c>
      <c r="M35" s="110" t="str">
        <f t="shared" si="31"/>
        <v>0.43299</v>
      </c>
      <c r="N35" s="110" t="str">
        <f t="shared" si="31"/>
        <v>0.23537</v>
      </c>
    </row>
    <row r="36" ht="14.25" customHeight="1">
      <c r="B36" s="23">
        <v>32.0</v>
      </c>
      <c r="C36" s="144"/>
      <c r="D36" s="23" t="s">
        <v>58</v>
      </c>
      <c r="E36" s="28" t="s">
        <v>59</v>
      </c>
      <c r="F36" s="109">
        <v>9.59E10</v>
      </c>
      <c r="G36" s="109">
        <v>1.19622E11</v>
      </c>
      <c r="H36" s="109">
        <v>1.82698E11</v>
      </c>
      <c r="I36" s="109">
        <v>4.95021E11</v>
      </c>
      <c r="J36" s="109">
        <v>6.3594E11</v>
      </c>
      <c r="K36" s="109">
        <v>6.58275E11</v>
      </c>
      <c r="L36" s="110" t="str">
        <f t="shared" ref="L36:N36" si="32">F36/I36</f>
        <v>0.19373</v>
      </c>
      <c r="M36" s="110" t="str">
        <f t="shared" si="32"/>
        <v>0.18810</v>
      </c>
      <c r="N36" s="110" t="str">
        <f t="shared" si="32"/>
        <v>0.27754</v>
      </c>
    </row>
    <row r="37" ht="14.25" customHeight="1">
      <c r="B37" s="23">
        <v>33.0</v>
      </c>
      <c r="C37" s="144"/>
      <c r="D37" s="23" t="s">
        <v>60</v>
      </c>
      <c r="E37" s="28" t="s">
        <v>61</v>
      </c>
      <c r="F37" s="109">
        <v>3.21581E11</v>
      </c>
      <c r="G37" s="109">
        <v>3.31253E11</v>
      </c>
      <c r="H37" s="109">
        <v>3.05678E11</v>
      </c>
      <c r="I37" s="109">
        <v>1.246487E12</v>
      </c>
      <c r="J37" s="109">
        <v>1.39772E12</v>
      </c>
      <c r="K37" s="109">
        <v>1.447924E12</v>
      </c>
      <c r="L37" s="110" t="str">
        <f t="shared" ref="L37:N37" si="33">F37/I37</f>
        <v>0.25799</v>
      </c>
      <c r="M37" s="110" t="str">
        <f t="shared" si="33"/>
        <v>0.23700</v>
      </c>
      <c r="N37" s="110" t="str">
        <f t="shared" si="33"/>
        <v>0.21111</v>
      </c>
    </row>
    <row r="38" ht="14.25" customHeight="1">
      <c r="B38" s="23">
        <v>34.0</v>
      </c>
      <c r="C38" s="144"/>
      <c r="D38" s="23" t="s">
        <v>62</v>
      </c>
      <c r="E38" s="28" t="s">
        <v>63</v>
      </c>
      <c r="F38" s="112">
        <v>9.5297E10</v>
      </c>
      <c r="G38" s="112">
        <v>6.6636E10</v>
      </c>
      <c r="H38" s="112">
        <v>7.5585E10</v>
      </c>
      <c r="I38" s="145">
        <v>6.34347E11</v>
      </c>
      <c r="J38" s="112">
        <v>2.91105E11</v>
      </c>
      <c r="K38" s="112">
        <v>4.44442E11</v>
      </c>
      <c r="L38" s="146" t="str">
        <f t="shared" ref="L38:N38" si="34">F38/I38</f>
        <v>0.15023</v>
      </c>
      <c r="M38" s="146" t="str">
        <f t="shared" si="34"/>
        <v>0.22891</v>
      </c>
      <c r="N38" s="146" t="str">
        <f t="shared" si="34"/>
        <v>0.17007</v>
      </c>
    </row>
    <row r="39" ht="14.25" customHeight="1">
      <c r="B39" s="23">
        <v>35.0</v>
      </c>
      <c r="C39" s="144"/>
      <c r="D39" s="23" t="s">
        <v>54</v>
      </c>
      <c r="E39" s="28" t="s">
        <v>55</v>
      </c>
      <c r="F39" s="109">
        <v>5.35992979785E11</v>
      </c>
      <c r="G39" s="109">
        <v>8.48843741591E11</v>
      </c>
      <c r="H39" s="109">
        <v>8.13426817929E11</v>
      </c>
      <c r="I39" s="109">
        <v>2.506057517934E12</v>
      </c>
      <c r="J39" s="109">
        <v>4.093715832812E12</v>
      </c>
      <c r="K39" s="109">
        <v>3.881094493336E12</v>
      </c>
      <c r="L39" s="110" t="str">
        <f t="shared" ref="L39:N39" si="35">F39/I39</f>
        <v>0.21388</v>
      </c>
      <c r="M39" s="110" t="str">
        <f t="shared" si="35"/>
        <v>0.20735</v>
      </c>
      <c r="N39" s="110" t="str">
        <f t="shared" si="35"/>
        <v>0.20959</v>
      </c>
    </row>
    <row r="40" ht="14.25" customHeight="1">
      <c r="B40" s="23">
        <v>36.0</v>
      </c>
      <c r="C40" s="144"/>
      <c r="D40" s="23" t="s">
        <v>190</v>
      </c>
      <c r="E40" s="28" t="s">
        <v>191</v>
      </c>
      <c r="F40" s="109">
        <v>2.1628659747E10</v>
      </c>
      <c r="G40" s="109">
        <v>3.1342476545E10</v>
      </c>
      <c r="H40" s="109">
        <v>2.2641909865E10</v>
      </c>
      <c r="I40" s="109">
        <v>1.88875205126E11</v>
      </c>
      <c r="J40" s="109">
        <v>1.39399064133E11</v>
      </c>
      <c r="K40" s="109">
        <v>1.01823072593E11</v>
      </c>
      <c r="L40" s="110" t="str">
        <f t="shared" ref="L40:N40" si="36">F40/I40</f>
        <v>0.11451</v>
      </c>
      <c r="M40" s="110" t="str">
        <f t="shared" si="36"/>
        <v>0.22484</v>
      </c>
      <c r="N40" s="110" t="str">
        <f t="shared" si="36"/>
        <v>0.22237</v>
      </c>
    </row>
    <row r="41" ht="14.25" customHeight="1">
      <c r="B41" s="23">
        <v>37.0</v>
      </c>
      <c r="C41" s="144"/>
      <c r="D41" s="23" t="s">
        <v>64</v>
      </c>
      <c r="E41" s="28" t="s">
        <v>65</v>
      </c>
      <c r="F41" s="109">
        <v>6.0851959498E10</v>
      </c>
      <c r="G41" s="109">
        <v>1.10383707164E11</v>
      </c>
      <c r="H41" s="109">
        <v>8.8486017851E10</v>
      </c>
      <c r="I41" s="109">
        <v>3.18534090195E11</v>
      </c>
      <c r="J41" s="109">
        <v>6.5962771205E11</v>
      </c>
      <c r="K41" s="109">
        <v>4.39133492122E11</v>
      </c>
      <c r="L41" s="110" t="str">
        <f t="shared" ref="L41:N41" si="37">F41/I41</f>
        <v>0.19104</v>
      </c>
      <c r="M41" s="110" t="str">
        <f t="shared" si="37"/>
        <v>0.16734</v>
      </c>
      <c r="N41" s="110" t="str">
        <f t="shared" si="37"/>
        <v>0.20150</v>
      </c>
    </row>
    <row r="42" ht="14.25" customHeight="1">
      <c r="B42" s="23">
        <v>38.0</v>
      </c>
      <c r="C42" s="144"/>
      <c r="D42" s="23" t="s">
        <v>184</v>
      </c>
      <c r="E42" s="28" t="s">
        <v>185</v>
      </c>
      <c r="F42" s="109">
        <v>1.40534997731E11</v>
      </c>
      <c r="G42" s="109">
        <v>9.46902643E10</v>
      </c>
      <c r="H42" s="109">
        <v>1.06749297728E11</v>
      </c>
      <c r="I42" s="109">
        <v>5.72782719985E11</v>
      </c>
      <c r="J42" s="109">
        <v>4.27990685263E11</v>
      </c>
      <c r="K42" s="109">
        <v>4.68944996208E11</v>
      </c>
      <c r="L42" s="110" t="str">
        <f t="shared" ref="L42:N42" si="38">F42/I42</f>
        <v>0.24535</v>
      </c>
      <c r="M42" s="110" t="str">
        <f t="shared" si="38"/>
        <v>0.22124</v>
      </c>
      <c r="N42" s="110" t="str">
        <f t="shared" si="38"/>
        <v>0.22764</v>
      </c>
    </row>
    <row r="43" ht="14.25" customHeight="1">
      <c r="B43" s="23">
        <v>39.0</v>
      </c>
      <c r="C43" s="144"/>
      <c r="D43" s="23" t="s">
        <v>176</v>
      </c>
      <c r="E43" s="28" t="s">
        <v>177</v>
      </c>
      <c r="F43" s="109">
        <v>1.2000079369E10</v>
      </c>
      <c r="G43" s="109">
        <v>1.4879566285E10</v>
      </c>
      <c r="H43" s="109">
        <v>1.0787170467E10</v>
      </c>
      <c r="I43" s="109">
        <v>3.6464134244E10</v>
      </c>
      <c r="J43" s="109">
        <v>4.7960768133E10</v>
      </c>
      <c r="K43" s="109">
        <v>2.7701302589E10</v>
      </c>
      <c r="L43" s="110" t="str">
        <f t="shared" ref="L43:N43" si="39">F43/I43</f>
        <v>0.32909</v>
      </c>
      <c r="M43" s="110" t="str">
        <f t="shared" si="39"/>
        <v>0.31024</v>
      </c>
      <c r="N43" s="110" t="str">
        <f t="shared" si="39"/>
        <v>0.38941</v>
      </c>
    </row>
    <row r="44" ht="14.25" customHeight="1">
      <c r="B44" s="23">
        <v>40.0</v>
      </c>
      <c r="C44" s="144"/>
      <c r="D44" s="23" t="s">
        <v>72</v>
      </c>
      <c r="E44" s="28" t="s">
        <v>73</v>
      </c>
      <c r="F44" s="109">
        <v>3.64596E11</v>
      </c>
      <c r="G44" s="109">
        <v>3.03526E11</v>
      </c>
      <c r="H44" s="109">
        <v>3.70721E11</v>
      </c>
      <c r="I44" s="109">
        <v>1.404039E12</v>
      </c>
      <c r="J44" s="109">
        <v>7.44305E11</v>
      </c>
      <c r="K44" s="109">
        <v>1.068205E12</v>
      </c>
      <c r="L44" s="110" t="str">
        <f t="shared" ref="L44:N44" si="40">F44/I44</f>
        <v>0.25968</v>
      </c>
      <c r="M44" s="110" t="str">
        <f t="shared" si="40"/>
        <v>0.40780</v>
      </c>
      <c r="N44" s="110" t="str">
        <f t="shared" si="40"/>
        <v>0.34705</v>
      </c>
    </row>
    <row r="45" ht="14.25" customHeight="1">
      <c r="B45" s="23">
        <v>41.0</v>
      </c>
      <c r="C45" s="144"/>
      <c r="D45" s="23" t="s">
        <v>70</v>
      </c>
      <c r="E45" s="28" t="s">
        <v>71</v>
      </c>
      <c r="F45" s="109">
        <v>8.87381E11</v>
      </c>
      <c r="G45" s="109">
        <v>5.60911E11</v>
      </c>
      <c r="H45" s="109">
        <v>8.01454E11</v>
      </c>
      <c r="I45" s="109">
        <v>2.396986E12</v>
      </c>
      <c r="J45" s="109">
        <v>1.487689E12</v>
      </c>
      <c r="K45" s="109">
        <v>2.985104E12</v>
      </c>
      <c r="L45" s="110" t="str">
        <f t="shared" ref="L45:N45" si="41">F45/I45</f>
        <v>0.37021</v>
      </c>
      <c r="M45" s="110" t="str">
        <f t="shared" si="41"/>
        <v>0.37704</v>
      </c>
      <c r="N45" s="110" t="str">
        <f t="shared" si="41"/>
        <v>0.26848</v>
      </c>
    </row>
    <row r="46" ht="14.25" customHeight="1">
      <c r="B46" s="23">
        <v>42.0</v>
      </c>
      <c r="C46" s="144"/>
      <c r="D46" s="23" t="s">
        <v>202</v>
      </c>
      <c r="E46" s="28" t="s">
        <v>203</v>
      </c>
      <c r="F46" s="112">
        <v>1.7574233946E10</v>
      </c>
      <c r="G46" s="109">
        <v>2.7433389365E10</v>
      </c>
      <c r="H46" s="109">
        <v>3.4153623762E10</v>
      </c>
      <c r="I46" s="112">
        <v>9.2439536022E10</v>
      </c>
      <c r="J46" s="109">
        <v>1.24697224386E11</v>
      </c>
      <c r="K46" s="109">
        <v>1.51442413569E11</v>
      </c>
      <c r="L46" s="110" t="str">
        <f t="shared" ref="L46:N46" si="42">F46/I46</f>
        <v>0.19012</v>
      </c>
      <c r="M46" s="110" t="str">
        <f t="shared" si="42"/>
        <v>0.22000</v>
      </c>
      <c r="N46" s="110" t="str">
        <f t="shared" si="42"/>
        <v>0.22552</v>
      </c>
    </row>
    <row r="47" ht="14.25" customHeight="1">
      <c r="B47" s="23">
        <v>43.0</v>
      </c>
      <c r="C47" s="144"/>
      <c r="D47" s="23" t="s">
        <v>206</v>
      </c>
      <c r="E47" s="28" t="s">
        <v>207</v>
      </c>
      <c r="F47" s="109">
        <v>1.301015E12</v>
      </c>
      <c r="G47" s="109">
        <v>1.91016E11</v>
      </c>
      <c r="H47" s="109">
        <v>3.07173E11</v>
      </c>
      <c r="I47" s="109">
        <v>6.805971E12</v>
      </c>
      <c r="J47" s="109">
        <v>1.108886E12</v>
      </c>
      <c r="K47" s="109">
        <v>1.585442E12</v>
      </c>
      <c r="L47" s="110" t="str">
        <f t="shared" ref="L47:N47" si="43">F47/I47</f>
        <v>0.19116</v>
      </c>
      <c r="M47" s="110" t="str">
        <f t="shared" si="43"/>
        <v>0.17226</v>
      </c>
      <c r="N47" s="110" t="str">
        <f t="shared" si="43"/>
        <v>0.19375</v>
      </c>
    </row>
    <row r="48" ht="14.25" customHeight="1">
      <c r="B48" s="23">
        <v>44.0</v>
      </c>
      <c r="C48" s="144"/>
      <c r="D48" s="23" t="s">
        <v>76</v>
      </c>
      <c r="E48" s="28" t="s">
        <v>77</v>
      </c>
      <c r="F48" s="109">
        <v>4.27447333E11</v>
      </c>
      <c r="G48" s="109">
        <v>2.08119522E11</v>
      </c>
      <c r="H48" s="109">
        <v>3.81411919E11</v>
      </c>
      <c r="I48" s="109">
        <v>2.275566311E12</v>
      </c>
      <c r="J48" s="109">
        <v>5.52135147E11</v>
      </c>
      <c r="K48" s="109">
        <v>1.226103304E12</v>
      </c>
      <c r="L48" s="110" t="str">
        <f t="shared" ref="L48:N48" si="44">F48/I48</f>
        <v>0.18784</v>
      </c>
      <c r="M48" s="110" t="str">
        <f t="shared" si="44"/>
        <v>0.37694</v>
      </c>
      <c r="N48" s="110" t="str">
        <f t="shared" si="44"/>
        <v>0.31108</v>
      </c>
    </row>
    <row r="49" ht="14.25" customHeight="1">
      <c r="B49" s="23">
        <v>45.0</v>
      </c>
      <c r="C49" s="144"/>
      <c r="D49" s="23" t="s">
        <v>204</v>
      </c>
      <c r="E49" s="28" t="s">
        <v>205</v>
      </c>
      <c r="F49" s="109">
        <v>1.32199514819E11</v>
      </c>
      <c r="G49" s="109">
        <v>1.84846323957E11</v>
      </c>
      <c r="H49" s="109">
        <v>1.94589882421E11</v>
      </c>
      <c r="I49" s="109">
        <v>7.56723520605E11</v>
      </c>
      <c r="J49" s="109">
        <v>1.102640346668E12</v>
      </c>
      <c r="K49" s="109">
        <v>1.509020656369E12</v>
      </c>
      <c r="L49" s="110" t="str">
        <f t="shared" ref="L49:N49" si="45">F49/I49</f>
        <v>0.17470</v>
      </c>
      <c r="M49" s="110" t="str">
        <f t="shared" si="45"/>
        <v>0.16764</v>
      </c>
      <c r="N49" s="110" t="str">
        <f t="shared" si="45"/>
        <v>0.12895</v>
      </c>
    </row>
    <row r="50" ht="14.25" customHeight="1">
      <c r="B50" s="23">
        <v>46.0</v>
      </c>
      <c r="C50" s="144"/>
      <c r="D50" s="23" t="s">
        <v>82</v>
      </c>
      <c r="E50" s="28" t="s">
        <v>83</v>
      </c>
      <c r="F50" s="109">
        <v>6.00536E11</v>
      </c>
      <c r="G50" s="109">
        <v>2.7984E11</v>
      </c>
      <c r="H50" s="109">
        <v>6.86305E11</v>
      </c>
      <c r="I50" s="109">
        <v>3.689281E12</v>
      </c>
      <c r="J50" s="109">
        <v>1.941098E12</v>
      </c>
      <c r="K50" s="109">
        <v>3.926904E12</v>
      </c>
      <c r="L50" s="110" t="str">
        <f t="shared" ref="L50:N50" si="46">F50/I50</f>
        <v>0.16278</v>
      </c>
      <c r="M50" s="110" t="str">
        <f t="shared" si="46"/>
        <v>0.14417</v>
      </c>
      <c r="N50" s="110" t="str">
        <f t="shared" si="46"/>
        <v>0.17477</v>
      </c>
    </row>
    <row r="51" ht="14.25" customHeight="1">
      <c r="B51" s="23">
        <v>47.0</v>
      </c>
      <c r="C51" s="144"/>
      <c r="D51" s="23" t="s">
        <v>84</v>
      </c>
      <c r="E51" s="28" t="s">
        <v>85</v>
      </c>
      <c r="F51" s="109">
        <v>2.18878E11</v>
      </c>
      <c r="G51" s="109">
        <v>1.73655E11</v>
      </c>
      <c r="H51" s="109">
        <v>2.0294E11</v>
      </c>
      <c r="I51" s="109">
        <v>1.020318E12</v>
      </c>
      <c r="J51" s="109">
        <v>7.85873E11</v>
      </c>
      <c r="K51" s="109">
        <v>9.0396E11</v>
      </c>
      <c r="L51" s="110" t="str">
        <f t="shared" ref="L51:N51" si="47">F51/I51</f>
        <v>0.21452</v>
      </c>
      <c r="M51" s="110" t="str">
        <f t="shared" si="47"/>
        <v>0.22097</v>
      </c>
      <c r="N51" s="110" t="str">
        <f t="shared" si="47"/>
        <v>0.22450</v>
      </c>
    </row>
    <row r="52" ht="14.25" customHeight="1">
      <c r="B52" s="23">
        <v>48.0</v>
      </c>
      <c r="C52" s="144"/>
      <c r="D52" s="23" t="s">
        <v>212</v>
      </c>
      <c r="E52" s="28" t="s">
        <v>213</v>
      </c>
      <c r="F52" s="109">
        <v>1.26640962325E11</v>
      </c>
      <c r="G52" s="109">
        <v>1.46416E11</v>
      </c>
      <c r="H52" s="109">
        <v>9.1199E10</v>
      </c>
      <c r="I52" s="109">
        <v>6.04907E11</v>
      </c>
      <c r="J52" s="109">
        <v>5.87515E11</v>
      </c>
      <c r="K52" s="109">
        <v>4.93616E11</v>
      </c>
      <c r="L52" s="110" t="str">
        <f t="shared" ref="L52:N52" si="48">F52/I52</f>
        <v>0.20936</v>
      </c>
      <c r="M52" s="110" t="str">
        <f t="shared" si="48"/>
        <v>0.24921</v>
      </c>
      <c r="N52" s="110" t="str">
        <f t="shared" si="48"/>
        <v>0.18476</v>
      </c>
    </row>
    <row r="53" ht="14.25" customHeight="1">
      <c r="B53" s="23">
        <v>49.0</v>
      </c>
      <c r="C53" s="144"/>
      <c r="D53" s="23" t="s">
        <v>88</v>
      </c>
      <c r="E53" s="28" t="s">
        <v>89</v>
      </c>
      <c r="F53" s="109">
        <v>1.17435E11</v>
      </c>
      <c r="G53" s="109">
        <v>1.39683E11</v>
      </c>
      <c r="H53" s="109">
        <v>1.11188E11</v>
      </c>
      <c r="I53" s="109">
        <v>4.31083E11</v>
      </c>
      <c r="J53" s="109">
        <v>5.74215E11</v>
      </c>
      <c r="K53" s="109">
        <v>4.61629E11</v>
      </c>
      <c r="L53" s="110" t="str">
        <f t="shared" ref="L53:N53" si="49">F53/I53</f>
        <v>0.27242</v>
      </c>
      <c r="M53" s="110" t="str">
        <f t="shared" si="49"/>
        <v>0.24326</v>
      </c>
      <c r="N53" s="110" t="str">
        <f t="shared" si="49"/>
        <v>0.24086</v>
      </c>
    </row>
    <row r="54" ht="14.25" customHeight="1">
      <c r="B54" s="23">
        <v>50.0</v>
      </c>
      <c r="C54" s="144"/>
      <c r="D54" s="23" t="s">
        <v>86</v>
      </c>
      <c r="E54" s="28" t="s">
        <v>87</v>
      </c>
      <c r="F54" s="109">
        <v>3.23512E11</v>
      </c>
      <c r="G54" s="109">
        <v>3.21124E11</v>
      </c>
      <c r="H54" s="109">
        <v>3.53047E11</v>
      </c>
      <c r="I54" s="109">
        <v>1.288998E12</v>
      </c>
      <c r="J54" s="109">
        <v>1.507285E12</v>
      </c>
      <c r="K54" s="109">
        <v>1.506963E12</v>
      </c>
      <c r="L54" s="110" t="str">
        <f t="shared" ref="L54:N54" si="50">F54/I54</f>
        <v>0.25098</v>
      </c>
      <c r="M54" s="110" t="str">
        <f t="shared" si="50"/>
        <v>0.21305</v>
      </c>
      <c r="N54" s="110" t="str">
        <f t="shared" si="50"/>
        <v>0.23428</v>
      </c>
    </row>
    <row r="55" ht="14.25" customHeight="1">
      <c r="B55" s="23">
        <v>51.0</v>
      </c>
      <c r="C55" s="144"/>
      <c r="D55" s="23" t="s">
        <v>226</v>
      </c>
      <c r="E55" s="28" t="s">
        <v>227</v>
      </c>
      <c r="F55" s="109">
        <v>1.651E10</v>
      </c>
      <c r="G55" s="109">
        <v>6.8858E10</v>
      </c>
      <c r="H55" s="109">
        <v>1.41369E11</v>
      </c>
      <c r="I55" s="109">
        <v>9.46717E11</v>
      </c>
      <c r="J55" s="109">
        <v>9.4995E10</v>
      </c>
      <c r="K55" s="109">
        <v>2.80258E11</v>
      </c>
      <c r="L55" s="110" t="str">
        <f t="shared" ref="L55:N55" si="51">F55/I55</f>
        <v>0.01744</v>
      </c>
      <c r="M55" s="110" t="str">
        <f t="shared" si="51"/>
        <v>0.72486</v>
      </c>
      <c r="N55" s="110" t="str">
        <f t="shared" si="51"/>
        <v>0.50442</v>
      </c>
    </row>
    <row r="56" ht="14.25" customHeight="1">
      <c r="B56" s="23">
        <v>52.0</v>
      </c>
      <c r="C56" s="144"/>
      <c r="D56" s="23" t="s">
        <v>90</v>
      </c>
      <c r="E56" s="28" t="s">
        <v>91</v>
      </c>
      <c r="F56" s="109">
        <v>1.629042E12</v>
      </c>
      <c r="G56" s="109">
        <v>1.400936E12</v>
      </c>
      <c r="H56" s="109">
        <v>9.81731E11</v>
      </c>
      <c r="I56" s="109">
        <v>6.993803E12</v>
      </c>
      <c r="J56" s="109">
        <v>6.201876E12</v>
      </c>
      <c r="K56" s="109">
        <v>4.350424E12</v>
      </c>
      <c r="L56" s="110" t="str">
        <f t="shared" ref="L56:N56" si="52">F56/I56</f>
        <v>0.23293</v>
      </c>
      <c r="M56" s="110" t="str">
        <f t="shared" si="52"/>
        <v>0.22589</v>
      </c>
      <c r="N56" s="110" t="str">
        <f t="shared" si="52"/>
        <v>0.22566</v>
      </c>
    </row>
    <row r="57" ht="14.25" customHeight="1">
      <c r="B57" s="23">
        <v>53.0</v>
      </c>
      <c r="C57" s="144"/>
      <c r="D57" s="23" t="s">
        <v>92</v>
      </c>
      <c r="E57" s="28" t="s">
        <v>93</v>
      </c>
      <c r="F57" s="109">
        <v>3.4757414841E10</v>
      </c>
      <c r="G57" s="109">
        <v>5.7301606431E10</v>
      </c>
      <c r="H57" s="109">
        <v>5.1047316672E10</v>
      </c>
      <c r="I57" s="109">
        <v>1.32396468529E11</v>
      </c>
      <c r="J57" s="109">
        <v>2.35756772393E11</v>
      </c>
      <c r="K57" s="109">
        <v>2.2699294718E11</v>
      </c>
      <c r="L57" s="110" t="str">
        <f t="shared" ref="L57:N57" si="53">F57/I57</f>
        <v>0.26253</v>
      </c>
      <c r="M57" s="110" t="str">
        <f t="shared" si="53"/>
        <v>0.24305</v>
      </c>
      <c r="N57" s="110" t="str">
        <f t="shared" si="53"/>
        <v>0.22489</v>
      </c>
    </row>
    <row r="58" ht="14.25" customHeight="1">
      <c r="B58" s="23">
        <v>54.0</v>
      </c>
      <c r="C58" s="144"/>
      <c r="D58" s="23" t="s">
        <v>94</v>
      </c>
      <c r="E58" s="28" t="s">
        <v>95</v>
      </c>
      <c r="F58" s="109">
        <v>6.9826921963E10</v>
      </c>
      <c r="G58" s="109">
        <v>1.40106627787E11</v>
      </c>
      <c r="H58" s="109">
        <v>7.80215E10</v>
      </c>
      <c r="I58" s="109">
        <v>3.19471051042E11</v>
      </c>
      <c r="J58" s="109">
        <v>6.34835802093E11</v>
      </c>
      <c r="K58" s="109">
        <v>3.76735E11</v>
      </c>
      <c r="L58" s="110" t="str">
        <f t="shared" ref="L58:N58" si="54">F58/I58</f>
        <v>0.21857</v>
      </c>
      <c r="M58" s="110" t="str">
        <f t="shared" si="54"/>
        <v>0.22070</v>
      </c>
      <c r="N58" s="110" t="str">
        <f t="shared" si="54"/>
        <v>0.20710</v>
      </c>
    </row>
    <row r="59" ht="14.25" customHeight="1">
      <c r="L59" s="102"/>
      <c r="M59" s="102"/>
      <c r="N59" s="102"/>
    </row>
    <row r="60" ht="14.25" customHeight="1">
      <c r="L60" s="102"/>
      <c r="M60" s="102"/>
      <c r="N60" s="102"/>
    </row>
    <row r="61" ht="14.25" customHeight="1">
      <c r="L61" s="102"/>
      <c r="M61" s="102"/>
      <c r="N61" s="102"/>
    </row>
    <row r="62" ht="14.25" customHeight="1">
      <c r="L62" s="102"/>
      <c r="M62" s="102"/>
      <c r="N62" s="102"/>
    </row>
    <row r="63" ht="14.25" customHeight="1">
      <c r="L63" s="102"/>
      <c r="M63" s="102"/>
      <c r="N63" s="102"/>
    </row>
    <row r="64" ht="14.25" customHeight="1">
      <c r="L64" s="102"/>
      <c r="M64" s="102"/>
      <c r="N64" s="102"/>
    </row>
    <row r="65" ht="14.25" customHeight="1">
      <c r="L65" s="102"/>
      <c r="M65" s="102"/>
      <c r="N65" s="102"/>
    </row>
    <row r="66" ht="14.25" customHeight="1">
      <c r="L66" s="102"/>
      <c r="M66" s="102"/>
      <c r="N66" s="102"/>
    </row>
    <row r="67" ht="14.25" customHeight="1">
      <c r="L67" s="102"/>
      <c r="M67" s="102"/>
      <c r="N67" s="102"/>
    </row>
    <row r="68" ht="14.25" customHeight="1">
      <c r="L68" s="102"/>
      <c r="M68" s="102"/>
      <c r="N68" s="102"/>
    </row>
    <row r="69" ht="14.25" customHeight="1">
      <c r="L69" s="102"/>
      <c r="M69" s="102"/>
      <c r="N69" s="102"/>
    </row>
    <row r="70" ht="14.25" customHeight="1">
      <c r="L70" s="102"/>
      <c r="M70" s="102"/>
      <c r="N70" s="102"/>
    </row>
    <row r="71" ht="14.25" customHeight="1">
      <c r="L71" s="102"/>
      <c r="M71" s="102"/>
      <c r="N71" s="102"/>
    </row>
    <row r="72" ht="14.25" customHeight="1">
      <c r="L72" s="102"/>
      <c r="M72" s="102"/>
      <c r="N72" s="102"/>
    </row>
    <row r="73" ht="14.25" customHeight="1">
      <c r="L73" s="102"/>
      <c r="M73" s="102"/>
      <c r="N73" s="102"/>
    </row>
    <row r="74" ht="14.25" customHeight="1">
      <c r="L74" s="102"/>
      <c r="M74" s="102"/>
      <c r="N74" s="102"/>
    </row>
    <row r="75" ht="14.25" customHeight="1">
      <c r="L75" s="102"/>
      <c r="M75" s="102"/>
      <c r="N75" s="102"/>
    </row>
    <row r="76" ht="14.25" customHeight="1">
      <c r="L76" s="102"/>
      <c r="M76" s="102"/>
      <c r="N76" s="102"/>
    </row>
    <row r="77" ht="14.25" customHeight="1">
      <c r="L77" s="102"/>
      <c r="M77" s="102"/>
      <c r="N77" s="102"/>
    </row>
    <row r="78" ht="14.25" customHeight="1">
      <c r="L78" s="102"/>
      <c r="M78" s="102"/>
      <c r="N78" s="102"/>
    </row>
    <row r="79" ht="14.25" customHeight="1">
      <c r="L79" s="102"/>
      <c r="M79" s="102"/>
      <c r="N79" s="102"/>
    </row>
    <row r="80" ht="14.25" customHeight="1">
      <c r="L80" s="102"/>
      <c r="M80" s="102"/>
      <c r="N80" s="102"/>
    </row>
    <row r="81" ht="14.25" customHeight="1">
      <c r="L81" s="102"/>
      <c r="M81" s="102"/>
      <c r="N81" s="102"/>
    </row>
    <row r="82" ht="14.25" customHeight="1">
      <c r="L82" s="102"/>
      <c r="M82" s="102"/>
      <c r="N82" s="102"/>
    </row>
    <row r="83" ht="14.25" customHeight="1">
      <c r="L83" s="102"/>
      <c r="M83" s="102"/>
      <c r="N83" s="102"/>
    </row>
    <row r="84" ht="14.25" customHeight="1">
      <c r="L84" s="102"/>
      <c r="M84" s="102"/>
      <c r="N84" s="102"/>
    </row>
    <row r="85" ht="14.25" customHeight="1">
      <c r="L85" s="102"/>
      <c r="M85" s="102"/>
      <c r="N85" s="102"/>
    </row>
    <row r="86" ht="14.25" customHeight="1">
      <c r="L86" s="102"/>
      <c r="M86" s="102"/>
      <c r="N86" s="102"/>
    </row>
    <row r="87" ht="14.25" customHeight="1">
      <c r="L87" s="102"/>
      <c r="M87" s="102"/>
      <c r="N87" s="102"/>
    </row>
    <row r="88" ht="14.25" customHeight="1">
      <c r="L88" s="102"/>
      <c r="M88" s="102"/>
      <c r="N88" s="102"/>
    </row>
    <row r="89" ht="14.25" customHeight="1">
      <c r="L89" s="102"/>
      <c r="M89" s="102"/>
      <c r="N89" s="102"/>
    </row>
    <row r="90" ht="14.25" customHeight="1">
      <c r="L90" s="102"/>
      <c r="M90" s="102"/>
      <c r="N90" s="102"/>
    </row>
    <row r="91" ht="14.25" customHeight="1">
      <c r="L91" s="102"/>
      <c r="M91" s="102"/>
      <c r="N91" s="102"/>
    </row>
    <row r="92" ht="14.25" customHeight="1">
      <c r="L92" s="102"/>
      <c r="M92" s="102"/>
      <c r="N92" s="102"/>
    </row>
    <row r="93" ht="14.25" customHeight="1">
      <c r="L93" s="102"/>
      <c r="M93" s="102"/>
      <c r="N93" s="102"/>
    </row>
    <row r="94" ht="14.25" customHeight="1">
      <c r="L94" s="102"/>
      <c r="M94" s="102"/>
      <c r="N94" s="102"/>
    </row>
    <row r="95" ht="14.25" customHeight="1">
      <c r="L95" s="102"/>
      <c r="M95" s="102"/>
      <c r="N95" s="102"/>
    </row>
    <row r="96" ht="14.25" customHeight="1">
      <c r="L96" s="102"/>
      <c r="M96" s="102"/>
      <c r="N96" s="102"/>
    </row>
    <row r="97" ht="14.25" customHeight="1">
      <c r="L97" s="102"/>
      <c r="M97" s="102"/>
      <c r="N97" s="102"/>
    </row>
    <row r="98" ht="14.25" customHeight="1">
      <c r="L98" s="102"/>
      <c r="M98" s="102"/>
      <c r="N98" s="102"/>
    </row>
    <row r="99" ht="14.25" customHeight="1">
      <c r="L99" s="102"/>
      <c r="M99" s="102"/>
      <c r="N99" s="102"/>
    </row>
    <row r="100" ht="14.25" customHeight="1">
      <c r="L100" s="102"/>
      <c r="M100" s="102"/>
      <c r="N100" s="102"/>
    </row>
    <row r="101" ht="14.25" customHeight="1">
      <c r="L101" s="102"/>
      <c r="M101" s="102"/>
      <c r="N101" s="102"/>
    </row>
    <row r="102" ht="14.25" customHeight="1">
      <c r="L102" s="102"/>
      <c r="M102" s="102"/>
      <c r="N102" s="102"/>
    </row>
    <row r="103" ht="14.25" customHeight="1">
      <c r="L103" s="102"/>
      <c r="M103" s="102"/>
      <c r="N103" s="102"/>
    </row>
    <row r="104" ht="14.25" customHeight="1">
      <c r="L104" s="102"/>
      <c r="M104" s="102"/>
      <c r="N104" s="102"/>
    </row>
    <row r="105" ht="14.25" customHeight="1">
      <c r="L105" s="102"/>
      <c r="M105" s="102"/>
      <c r="N105" s="102"/>
    </row>
    <row r="106" ht="14.25" customHeight="1">
      <c r="L106" s="102"/>
      <c r="M106" s="102"/>
      <c r="N106" s="102"/>
    </row>
    <row r="107" ht="14.25" customHeight="1">
      <c r="L107" s="102"/>
      <c r="M107" s="102"/>
      <c r="N107" s="102"/>
    </row>
    <row r="108" ht="14.25" customHeight="1">
      <c r="L108" s="102"/>
      <c r="M108" s="102"/>
      <c r="N108" s="102"/>
    </row>
    <row r="109" ht="14.25" customHeight="1">
      <c r="L109" s="102"/>
      <c r="M109" s="102"/>
      <c r="N109" s="102"/>
    </row>
    <row r="110" ht="14.25" customHeight="1">
      <c r="L110" s="102"/>
      <c r="M110" s="102"/>
      <c r="N110" s="102"/>
    </row>
    <row r="111" ht="14.25" customHeight="1">
      <c r="L111" s="102"/>
      <c r="M111" s="102"/>
      <c r="N111" s="102"/>
    </row>
    <row r="112" ht="14.25" customHeight="1">
      <c r="L112" s="102"/>
      <c r="M112" s="102"/>
      <c r="N112" s="102"/>
    </row>
    <row r="113" ht="14.25" customHeight="1">
      <c r="L113" s="102"/>
      <c r="M113" s="102"/>
      <c r="N113" s="102"/>
    </row>
    <row r="114" ht="14.25" customHeight="1">
      <c r="L114" s="102"/>
      <c r="M114" s="102"/>
      <c r="N114" s="102"/>
    </row>
    <row r="115" ht="14.25" customHeight="1">
      <c r="L115" s="102"/>
      <c r="M115" s="102"/>
      <c r="N115" s="102"/>
    </row>
    <row r="116" ht="14.25" customHeight="1">
      <c r="L116" s="102"/>
      <c r="M116" s="102"/>
      <c r="N116" s="102"/>
    </row>
    <row r="117" ht="14.25" customHeight="1">
      <c r="L117" s="102"/>
      <c r="M117" s="102"/>
      <c r="N117" s="102"/>
    </row>
    <row r="118" ht="14.25" customHeight="1">
      <c r="L118" s="102"/>
      <c r="M118" s="102"/>
      <c r="N118" s="102"/>
    </row>
    <row r="119" ht="14.25" customHeight="1">
      <c r="L119" s="102"/>
      <c r="M119" s="102"/>
      <c r="N119" s="102"/>
    </row>
    <row r="120" ht="14.25" customHeight="1">
      <c r="L120" s="102"/>
      <c r="M120" s="102"/>
      <c r="N120" s="102"/>
    </row>
    <row r="121" ht="14.25" customHeight="1">
      <c r="L121" s="102"/>
      <c r="M121" s="102"/>
      <c r="N121" s="102"/>
    </row>
    <row r="122" ht="14.25" customHeight="1">
      <c r="L122" s="102"/>
      <c r="M122" s="102"/>
      <c r="N122" s="102"/>
    </row>
    <row r="123" ht="14.25" customHeight="1">
      <c r="L123" s="102"/>
      <c r="M123" s="102"/>
      <c r="N123" s="102"/>
    </row>
    <row r="124" ht="14.25" customHeight="1">
      <c r="L124" s="102"/>
      <c r="M124" s="102"/>
      <c r="N124" s="102"/>
    </row>
    <row r="125" ht="14.25" customHeight="1">
      <c r="L125" s="102"/>
      <c r="M125" s="102"/>
      <c r="N125" s="102"/>
    </row>
    <row r="126" ht="14.25" customHeight="1">
      <c r="L126" s="102"/>
      <c r="M126" s="102"/>
      <c r="N126" s="102"/>
    </row>
    <row r="127" ht="14.25" customHeight="1">
      <c r="L127" s="102"/>
      <c r="M127" s="102"/>
      <c r="N127" s="102"/>
    </row>
    <row r="128" ht="14.25" customHeight="1">
      <c r="L128" s="102"/>
      <c r="M128" s="102"/>
      <c r="N128" s="102"/>
    </row>
    <row r="129" ht="14.25" customHeight="1">
      <c r="L129" s="102"/>
      <c r="M129" s="102"/>
      <c r="N129" s="102"/>
    </row>
    <row r="130" ht="14.25" customHeight="1">
      <c r="L130" s="102"/>
      <c r="M130" s="102"/>
      <c r="N130" s="102"/>
    </row>
    <row r="131" ht="14.25" customHeight="1">
      <c r="L131" s="102"/>
      <c r="M131" s="102"/>
      <c r="N131" s="102"/>
    </row>
    <row r="132" ht="14.25" customHeight="1">
      <c r="L132" s="102"/>
      <c r="M132" s="102"/>
      <c r="N132" s="102"/>
    </row>
    <row r="133" ht="14.25" customHeight="1">
      <c r="L133" s="102"/>
      <c r="M133" s="102"/>
      <c r="N133" s="102"/>
    </row>
    <row r="134" ht="14.25" customHeight="1">
      <c r="L134" s="102"/>
      <c r="M134" s="102"/>
      <c r="N134" s="102"/>
    </row>
    <row r="135" ht="14.25" customHeight="1">
      <c r="L135" s="102"/>
      <c r="M135" s="102"/>
      <c r="N135" s="102"/>
    </row>
    <row r="136" ht="14.25" customHeight="1">
      <c r="L136" s="102"/>
      <c r="M136" s="102"/>
      <c r="N136" s="102"/>
    </row>
    <row r="137" ht="14.25" customHeight="1">
      <c r="L137" s="102"/>
      <c r="M137" s="102"/>
      <c r="N137" s="102"/>
    </row>
    <row r="138" ht="14.25" customHeight="1">
      <c r="L138" s="102"/>
      <c r="M138" s="102"/>
      <c r="N138" s="102"/>
    </row>
    <row r="139" ht="14.25" customHeight="1">
      <c r="L139" s="102"/>
      <c r="M139" s="102"/>
      <c r="N139" s="102"/>
    </row>
    <row r="140" ht="14.25" customHeight="1">
      <c r="L140" s="102"/>
      <c r="M140" s="102"/>
      <c r="N140" s="102"/>
    </row>
    <row r="141" ht="14.25" customHeight="1">
      <c r="L141" s="102"/>
      <c r="M141" s="102"/>
      <c r="N141" s="102"/>
    </row>
    <row r="142" ht="14.25" customHeight="1">
      <c r="L142" s="102"/>
      <c r="M142" s="102"/>
      <c r="N142" s="102"/>
    </row>
    <row r="143" ht="14.25" customHeight="1">
      <c r="L143" s="102"/>
      <c r="M143" s="102"/>
      <c r="N143" s="102"/>
    </row>
    <row r="144" ht="14.25" customHeight="1">
      <c r="L144" s="102"/>
      <c r="M144" s="102"/>
      <c r="N144" s="102"/>
    </row>
    <row r="145" ht="14.25" customHeight="1">
      <c r="L145" s="102"/>
      <c r="M145" s="102"/>
      <c r="N145" s="102"/>
    </row>
    <row r="146" ht="14.25" customHeight="1">
      <c r="L146" s="102"/>
      <c r="M146" s="102"/>
      <c r="N146" s="102"/>
    </row>
    <row r="147" ht="14.25" customHeight="1">
      <c r="L147" s="102"/>
      <c r="M147" s="102"/>
      <c r="N147" s="102"/>
    </row>
    <row r="148" ht="14.25" customHeight="1">
      <c r="L148" s="102"/>
      <c r="M148" s="102"/>
      <c r="N148" s="102"/>
    </row>
    <row r="149" ht="14.25" customHeight="1">
      <c r="L149" s="102"/>
      <c r="M149" s="102"/>
      <c r="N149" s="102"/>
    </row>
    <row r="150" ht="14.25" customHeight="1">
      <c r="L150" s="102"/>
      <c r="M150" s="102"/>
      <c r="N150" s="102"/>
    </row>
    <row r="151" ht="14.25" customHeight="1">
      <c r="L151" s="102"/>
      <c r="M151" s="102"/>
      <c r="N151" s="102"/>
    </row>
    <row r="152" ht="14.25" customHeight="1">
      <c r="L152" s="102"/>
      <c r="M152" s="102"/>
      <c r="N152" s="102"/>
    </row>
    <row r="153" ht="14.25" customHeight="1">
      <c r="L153" s="102"/>
      <c r="M153" s="102"/>
      <c r="N153" s="102"/>
    </row>
    <row r="154" ht="14.25" customHeight="1">
      <c r="L154" s="102"/>
      <c r="M154" s="102"/>
      <c r="N154" s="102"/>
    </row>
    <row r="155" ht="14.25" customHeight="1">
      <c r="L155" s="102"/>
      <c r="M155" s="102"/>
      <c r="N155" s="102"/>
    </row>
    <row r="156" ht="14.25" customHeight="1">
      <c r="L156" s="102"/>
      <c r="M156" s="102"/>
      <c r="N156" s="102"/>
    </row>
    <row r="157" ht="14.25" customHeight="1">
      <c r="L157" s="102"/>
      <c r="M157" s="102"/>
      <c r="N157" s="102"/>
    </row>
    <row r="158" ht="14.25" customHeight="1">
      <c r="L158" s="102"/>
      <c r="M158" s="102"/>
      <c r="N158" s="102"/>
    </row>
    <row r="159" ht="14.25" customHeight="1">
      <c r="L159" s="102"/>
      <c r="M159" s="102"/>
      <c r="N159" s="102"/>
    </row>
    <row r="160" ht="14.25" customHeight="1">
      <c r="L160" s="102"/>
      <c r="M160" s="102"/>
      <c r="N160" s="102"/>
    </row>
    <row r="161" ht="14.25" customHeight="1">
      <c r="L161" s="102"/>
      <c r="M161" s="102"/>
      <c r="N161" s="102"/>
    </row>
    <row r="162" ht="14.25" customHeight="1">
      <c r="L162" s="102"/>
      <c r="M162" s="102"/>
      <c r="N162" s="102"/>
    </row>
    <row r="163" ht="14.25" customHeight="1">
      <c r="L163" s="102"/>
      <c r="M163" s="102"/>
      <c r="N163" s="102"/>
    </row>
    <row r="164" ht="14.25" customHeight="1">
      <c r="L164" s="102"/>
      <c r="M164" s="102"/>
      <c r="N164" s="102"/>
    </row>
    <row r="165" ht="14.25" customHeight="1">
      <c r="L165" s="102"/>
      <c r="M165" s="102"/>
      <c r="N165" s="102"/>
    </row>
    <row r="166" ht="14.25" customHeight="1">
      <c r="L166" s="102"/>
      <c r="M166" s="102"/>
      <c r="N166" s="102"/>
    </row>
    <row r="167" ht="14.25" customHeight="1">
      <c r="L167" s="102"/>
      <c r="M167" s="102"/>
      <c r="N167" s="102"/>
    </row>
    <row r="168" ht="14.25" customHeight="1">
      <c r="L168" s="102"/>
      <c r="M168" s="102"/>
      <c r="N168" s="102"/>
    </row>
    <row r="169" ht="14.25" customHeight="1">
      <c r="L169" s="102"/>
      <c r="M169" s="102"/>
      <c r="N169" s="102"/>
    </row>
    <row r="170" ht="14.25" customHeight="1">
      <c r="L170" s="102"/>
      <c r="M170" s="102"/>
      <c r="N170" s="102"/>
    </row>
    <row r="171" ht="14.25" customHeight="1">
      <c r="L171" s="102"/>
      <c r="M171" s="102"/>
      <c r="N171" s="102"/>
    </row>
    <row r="172" ht="14.25" customHeight="1">
      <c r="L172" s="102"/>
      <c r="M172" s="102"/>
      <c r="N172" s="102"/>
    </row>
    <row r="173" ht="14.25" customHeight="1">
      <c r="L173" s="102"/>
      <c r="M173" s="102"/>
      <c r="N173" s="102"/>
    </row>
    <row r="174" ht="14.25" customHeight="1">
      <c r="L174" s="102"/>
      <c r="M174" s="102"/>
      <c r="N174" s="102"/>
    </row>
    <row r="175" ht="14.25" customHeight="1">
      <c r="L175" s="102"/>
      <c r="M175" s="102"/>
      <c r="N175" s="102"/>
    </row>
    <row r="176" ht="14.25" customHeight="1">
      <c r="L176" s="102"/>
      <c r="M176" s="102"/>
      <c r="N176" s="102"/>
    </row>
    <row r="177" ht="14.25" customHeight="1">
      <c r="L177" s="102"/>
      <c r="M177" s="102"/>
      <c r="N177" s="102"/>
    </row>
    <row r="178" ht="14.25" customHeight="1">
      <c r="L178" s="102"/>
      <c r="M178" s="102"/>
      <c r="N178" s="102"/>
    </row>
    <row r="179" ht="14.25" customHeight="1">
      <c r="L179" s="102"/>
      <c r="M179" s="102"/>
      <c r="N179" s="102"/>
    </row>
    <row r="180" ht="14.25" customHeight="1">
      <c r="L180" s="102"/>
      <c r="M180" s="102"/>
      <c r="N180" s="102"/>
    </row>
    <row r="181" ht="14.25" customHeight="1">
      <c r="L181" s="102"/>
      <c r="M181" s="102"/>
      <c r="N181" s="102"/>
    </row>
    <row r="182" ht="14.25" customHeight="1">
      <c r="L182" s="102"/>
      <c r="M182" s="102"/>
      <c r="N182" s="102"/>
    </row>
    <row r="183" ht="14.25" customHeight="1">
      <c r="L183" s="102"/>
      <c r="M183" s="102"/>
      <c r="N183" s="102"/>
    </row>
    <row r="184" ht="14.25" customHeight="1">
      <c r="L184" s="102"/>
      <c r="M184" s="102"/>
      <c r="N184" s="102"/>
    </row>
    <row r="185" ht="14.25" customHeight="1">
      <c r="L185" s="102"/>
      <c r="M185" s="102"/>
      <c r="N185" s="102"/>
    </row>
    <row r="186" ht="14.25" customHeight="1">
      <c r="L186" s="102"/>
      <c r="M186" s="102"/>
      <c r="N186" s="102"/>
    </row>
    <row r="187" ht="14.25" customHeight="1">
      <c r="L187" s="102"/>
      <c r="M187" s="102"/>
      <c r="N187" s="102"/>
    </row>
    <row r="188" ht="14.25" customHeight="1">
      <c r="L188" s="102"/>
      <c r="M188" s="102"/>
      <c r="N188" s="102"/>
    </row>
    <row r="189" ht="14.25" customHeight="1">
      <c r="L189" s="102"/>
      <c r="M189" s="102"/>
      <c r="N189" s="102"/>
    </row>
    <row r="190" ht="14.25" customHeight="1">
      <c r="L190" s="102"/>
      <c r="M190" s="102"/>
      <c r="N190" s="102"/>
    </row>
    <row r="191" ht="14.25" customHeight="1">
      <c r="L191" s="102"/>
      <c r="M191" s="102"/>
      <c r="N191" s="102"/>
    </row>
    <row r="192" ht="14.25" customHeight="1">
      <c r="L192" s="102"/>
      <c r="M192" s="102"/>
      <c r="N192" s="102"/>
    </row>
    <row r="193" ht="14.25" customHeight="1">
      <c r="L193" s="102"/>
      <c r="M193" s="102"/>
      <c r="N193" s="102"/>
    </row>
    <row r="194" ht="14.25" customHeight="1">
      <c r="L194" s="102"/>
      <c r="M194" s="102"/>
      <c r="N194" s="102"/>
    </row>
    <row r="195" ht="14.25" customHeight="1">
      <c r="L195" s="102"/>
      <c r="M195" s="102"/>
      <c r="N195" s="102"/>
    </row>
    <row r="196" ht="14.25" customHeight="1">
      <c r="L196" s="102"/>
      <c r="M196" s="102"/>
      <c r="N196" s="102"/>
    </row>
    <row r="197" ht="14.25" customHeight="1">
      <c r="L197" s="102"/>
      <c r="M197" s="102"/>
      <c r="N197" s="102"/>
    </row>
    <row r="198" ht="14.25" customHeight="1">
      <c r="L198" s="102"/>
      <c r="M198" s="102"/>
      <c r="N198" s="102"/>
    </row>
    <row r="199" ht="14.25" customHeight="1">
      <c r="L199" s="102"/>
      <c r="M199" s="102"/>
      <c r="N199" s="102"/>
    </row>
    <row r="200" ht="14.25" customHeight="1">
      <c r="L200" s="102"/>
      <c r="M200" s="102"/>
      <c r="N200" s="102"/>
    </row>
    <row r="201" ht="14.25" customHeight="1">
      <c r="L201" s="102"/>
      <c r="M201" s="102"/>
      <c r="N201" s="102"/>
    </row>
    <row r="202" ht="14.25" customHeight="1">
      <c r="L202" s="102"/>
      <c r="M202" s="102"/>
      <c r="N202" s="102"/>
    </row>
    <row r="203" ht="14.25" customHeight="1">
      <c r="L203" s="102"/>
      <c r="M203" s="102"/>
      <c r="N203" s="102"/>
    </row>
    <row r="204" ht="14.25" customHeight="1">
      <c r="L204" s="102"/>
      <c r="M204" s="102"/>
      <c r="N204" s="102"/>
    </row>
    <row r="205" ht="14.25" customHeight="1">
      <c r="L205" s="102"/>
      <c r="M205" s="102"/>
      <c r="N205" s="102"/>
    </row>
    <row r="206" ht="14.25" customHeight="1">
      <c r="L206" s="102"/>
      <c r="M206" s="102"/>
      <c r="N206" s="102"/>
    </row>
    <row r="207" ht="14.25" customHeight="1">
      <c r="L207" s="102"/>
      <c r="M207" s="102"/>
      <c r="N207" s="102"/>
    </row>
    <row r="208" ht="14.25" customHeight="1">
      <c r="L208" s="102"/>
      <c r="M208" s="102"/>
      <c r="N208" s="102"/>
    </row>
    <row r="209" ht="14.25" customHeight="1">
      <c r="L209" s="102"/>
      <c r="M209" s="102"/>
      <c r="N209" s="102"/>
    </row>
    <row r="210" ht="14.25" customHeight="1">
      <c r="L210" s="102"/>
      <c r="M210" s="102"/>
      <c r="N210" s="102"/>
    </row>
    <row r="211" ht="14.25" customHeight="1">
      <c r="L211" s="102"/>
      <c r="M211" s="102"/>
      <c r="N211" s="102"/>
    </row>
    <row r="212" ht="14.25" customHeight="1">
      <c r="L212" s="102"/>
      <c r="M212" s="102"/>
      <c r="N212" s="102"/>
    </row>
    <row r="213" ht="14.25" customHeight="1">
      <c r="L213" s="102"/>
      <c r="M213" s="102"/>
      <c r="N213" s="102"/>
    </row>
    <row r="214" ht="14.25" customHeight="1">
      <c r="L214" s="102"/>
      <c r="M214" s="102"/>
      <c r="N214" s="102"/>
    </row>
    <row r="215" ht="14.25" customHeight="1">
      <c r="L215" s="102"/>
      <c r="M215" s="102"/>
      <c r="N215" s="102"/>
    </row>
    <row r="216" ht="14.25" customHeight="1">
      <c r="L216" s="102"/>
      <c r="M216" s="102"/>
      <c r="N216" s="102"/>
    </row>
    <row r="217" ht="14.25" customHeight="1">
      <c r="L217" s="102"/>
      <c r="M217" s="102"/>
      <c r="N217" s="102"/>
    </row>
    <row r="218" ht="14.25" customHeight="1">
      <c r="L218" s="102"/>
      <c r="M218" s="102"/>
      <c r="N218" s="102"/>
    </row>
    <row r="219" ht="14.25" customHeight="1">
      <c r="L219" s="102"/>
      <c r="M219" s="102"/>
      <c r="N219" s="102"/>
    </row>
    <row r="220" ht="14.25" customHeight="1">
      <c r="L220" s="102"/>
      <c r="M220" s="102"/>
      <c r="N220" s="102"/>
    </row>
    <row r="221" ht="14.25" customHeight="1">
      <c r="L221" s="102"/>
      <c r="M221" s="102"/>
      <c r="N221" s="102"/>
    </row>
    <row r="222" ht="14.25" customHeight="1">
      <c r="L222" s="102"/>
      <c r="M222" s="102"/>
      <c r="N222" s="102"/>
    </row>
    <row r="223" ht="14.25" customHeight="1">
      <c r="L223" s="102"/>
      <c r="M223" s="102"/>
      <c r="N223" s="102"/>
    </row>
    <row r="224" ht="14.25" customHeight="1">
      <c r="L224" s="102"/>
      <c r="M224" s="102"/>
      <c r="N224" s="102"/>
    </row>
    <row r="225" ht="14.25" customHeight="1">
      <c r="L225" s="102"/>
      <c r="M225" s="102"/>
      <c r="N225" s="102"/>
    </row>
    <row r="226" ht="14.25" customHeight="1">
      <c r="L226" s="102"/>
      <c r="M226" s="102"/>
      <c r="N226" s="102"/>
    </row>
    <row r="227" ht="14.25" customHeight="1">
      <c r="L227" s="102"/>
      <c r="M227" s="102"/>
      <c r="N227" s="102"/>
    </row>
    <row r="228" ht="14.25" customHeight="1">
      <c r="L228" s="102"/>
      <c r="M228" s="102"/>
      <c r="N228" s="102"/>
    </row>
    <row r="229" ht="14.25" customHeight="1">
      <c r="L229" s="102"/>
      <c r="M229" s="102"/>
      <c r="N229" s="102"/>
    </row>
    <row r="230" ht="14.25" customHeight="1">
      <c r="L230" s="102"/>
      <c r="M230" s="102"/>
      <c r="N230" s="102"/>
    </row>
    <row r="231" ht="14.25" customHeight="1">
      <c r="L231" s="102"/>
      <c r="M231" s="102"/>
      <c r="N231" s="102"/>
    </row>
    <row r="232" ht="14.25" customHeight="1">
      <c r="L232" s="102"/>
      <c r="M232" s="102"/>
      <c r="N232" s="102"/>
    </row>
    <row r="233" ht="14.25" customHeight="1">
      <c r="L233" s="102"/>
      <c r="M233" s="102"/>
      <c r="N233" s="102"/>
    </row>
    <row r="234" ht="14.25" customHeight="1">
      <c r="L234" s="102"/>
      <c r="M234" s="102"/>
      <c r="N234" s="102"/>
    </row>
    <row r="235" ht="14.25" customHeight="1">
      <c r="L235" s="102"/>
      <c r="M235" s="102"/>
      <c r="N235" s="102"/>
    </row>
    <row r="236" ht="14.25" customHeight="1">
      <c r="L236" s="102"/>
      <c r="M236" s="102"/>
      <c r="N236" s="102"/>
    </row>
    <row r="237" ht="14.25" customHeight="1">
      <c r="L237" s="102"/>
      <c r="M237" s="102"/>
      <c r="N237" s="102"/>
    </row>
    <row r="238" ht="14.25" customHeight="1">
      <c r="L238" s="102"/>
      <c r="M238" s="102"/>
      <c r="N238" s="102"/>
    </row>
    <row r="239" ht="14.25" customHeight="1">
      <c r="L239" s="102"/>
      <c r="M239" s="102"/>
      <c r="N239" s="102"/>
    </row>
    <row r="240" ht="14.25" customHeight="1">
      <c r="L240" s="102"/>
      <c r="M240" s="102"/>
      <c r="N240" s="102"/>
    </row>
    <row r="241" ht="14.25" customHeight="1">
      <c r="L241" s="102"/>
      <c r="M241" s="102"/>
      <c r="N241" s="102"/>
    </row>
    <row r="242" ht="14.25" customHeight="1">
      <c r="L242" s="102"/>
      <c r="M242" s="102"/>
      <c r="N242" s="102"/>
    </row>
    <row r="243" ht="14.25" customHeight="1">
      <c r="L243" s="102"/>
      <c r="M243" s="102"/>
      <c r="N243" s="102"/>
    </row>
    <row r="244" ht="14.25" customHeight="1">
      <c r="L244" s="102"/>
      <c r="M244" s="102"/>
      <c r="N244" s="102"/>
    </row>
    <row r="245" ht="14.25" customHeight="1">
      <c r="L245" s="102"/>
      <c r="M245" s="102"/>
      <c r="N245" s="102"/>
    </row>
    <row r="246" ht="14.25" customHeight="1">
      <c r="L246" s="102"/>
      <c r="M246" s="102"/>
      <c r="N246" s="102"/>
    </row>
    <row r="247" ht="14.25" customHeight="1">
      <c r="L247" s="102"/>
      <c r="M247" s="102"/>
      <c r="N247" s="102"/>
    </row>
    <row r="248" ht="14.25" customHeight="1">
      <c r="L248" s="102"/>
      <c r="M248" s="102"/>
      <c r="N248" s="102"/>
    </row>
    <row r="249" ht="14.25" customHeight="1">
      <c r="L249" s="102"/>
      <c r="M249" s="102"/>
      <c r="N249" s="102"/>
    </row>
    <row r="250" ht="14.25" customHeight="1">
      <c r="L250" s="102"/>
      <c r="M250" s="102"/>
      <c r="N250" s="102"/>
    </row>
    <row r="251" ht="14.25" customHeight="1">
      <c r="L251" s="102"/>
      <c r="M251" s="102"/>
      <c r="N251" s="102"/>
    </row>
    <row r="252" ht="14.25" customHeight="1">
      <c r="L252" s="102"/>
      <c r="M252" s="102"/>
      <c r="N252" s="102"/>
    </row>
    <row r="253" ht="14.25" customHeight="1">
      <c r="L253" s="102"/>
      <c r="M253" s="102"/>
      <c r="N253" s="102"/>
    </row>
    <row r="254" ht="14.25" customHeight="1">
      <c r="L254" s="102"/>
      <c r="M254" s="102"/>
      <c r="N254" s="102"/>
    </row>
    <row r="255" ht="14.25" customHeight="1">
      <c r="L255" s="102"/>
      <c r="M255" s="102"/>
      <c r="N255" s="102"/>
    </row>
    <row r="256" ht="14.25" customHeight="1">
      <c r="L256" s="102"/>
      <c r="M256" s="102"/>
      <c r="N256" s="102"/>
    </row>
    <row r="257" ht="14.25" customHeight="1">
      <c r="L257" s="102"/>
      <c r="M257" s="102"/>
      <c r="N257" s="102"/>
    </row>
    <row r="258" ht="14.25" customHeight="1">
      <c r="L258" s="102"/>
      <c r="M258" s="102"/>
      <c r="N258" s="102"/>
    </row>
  </sheetData>
  <mergeCells count="4">
    <mergeCell ref="B3:E4"/>
    <mergeCell ref="F3:H3"/>
    <mergeCell ref="I3:K3"/>
    <mergeCell ref="L3:N3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.0"/>
    <col customWidth="1" min="3" max="4" width="8.71"/>
    <col customWidth="1" min="5" max="5" width="41.57"/>
    <col customWidth="1" min="6" max="6" width="13.14"/>
    <col customWidth="1" min="7" max="7" width="14.14"/>
    <col customWidth="1" min="8" max="8" width="15.29"/>
    <col customWidth="1" min="9" max="9" width="13.0"/>
    <col customWidth="1" min="10" max="10" width="12.43"/>
    <col customWidth="1" min="11" max="11" width="14.57"/>
    <col customWidth="1" min="12" max="26" width="8.71"/>
  </cols>
  <sheetData>
    <row r="1" ht="14.25" customHeight="1">
      <c r="A1" s="147"/>
      <c r="B1" s="148"/>
      <c r="C1" s="149"/>
      <c r="D1" s="150"/>
      <c r="E1" s="150"/>
      <c r="F1" s="151"/>
      <c r="G1" s="152"/>
      <c r="H1" s="152"/>
      <c r="I1" s="152"/>
      <c r="J1" s="152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ht="14.25" customHeight="1">
      <c r="A2" s="147"/>
      <c r="B2" s="148"/>
      <c r="C2" s="149"/>
      <c r="D2" s="150"/>
      <c r="E2" s="150"/>
      <c r="F2" s="151"/>
      <c r="G2" s="152"/>
      <c r="H2" s="152"/>
      <c r="I2" s="152"/>
      <c r="J2" s="152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ht="14.25" customHeight="1">
      <c r="A3" s="147"/>
      <c r="B3" s="153" t="s">
        <v>296</v>
      </c>
      <c r="C3" s="153" t="s">
        <v>330</v>
      </c>
      <c r="D3" s="154" t="s">
        <v>11</v>
      </c>
      <c r="E3" s="154" t="s">
        <v>12</v>
      </c>
      <c r="F3" s="155" t="s">
        <v>331</v>
      </c>
      <c r="G3" s="156" t="s">
        <v>332</v>
      </c>
      <c r="H3" s="156" t="s">
        <v>333</v>
      </c>
      <c r="I3" s="156" t="s">
        <v>334</v>
      </c>
      <c r="J3" s="156" t="s">
        <v>335</v>
      </c>
      <c r="K3" s="156" t="s">
        <v>336</v>
      </c>
      <c r="L3" s="15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ht="14.25" customHeight="1">
      <c r="A4" s="147"/>
      <c r="B4" s="153"/>
      <c r="C4" s="158"/>
      <c r="D4" s="154"/>
      <c r="E4" s="154"/>
      <c r="F4" s="159" t="s">
        <v>337</v>
      </c>
      <c r="G4" s="160" t="s">
        <v>338</v>
      </c>
      <c r="H4" s="161" t="s">
        <v>339</v>
      </c>
      <c r="I4" s="162" t="s">
        <v>340</v>
      </c>
      <c r="J4" s="163" t="s">
        <v>341</v>
      </c>
      <c r="K4" s="160" t="s">
        <v>342</v>
      </c>
      <c r="L4" s="164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ht="24.0" customHeight="1">
      <c r="A5" s="148"/>
      <c r="B5" s="153"/>
      <c r="C5" s="158"/>
      <c r="D5" s="153"/>
      <c r="E5" s="153"/>
      <c r="F5" s="165" t="s">
        <v>343</v>
      </c>
      <c r="G5" s="166" t="s">
        <v>344</v>
      </c>
      <c r="H5" s="166" t="s">
        <v>345</v>
      </c>
      <c r="I5" s="166" t="s">
        <v>346</v>
      </c>
      <c r="J5" s="166" t="s">
        <v>347</v>
      </c>
      <c r="K5" s="166" t="s">
        <v>348</v>
      </c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14.25" customHeight="1">
      <c r="A6" s="147"/>
      <c r="B6" s="67">
        <v>1.0</v>
      </c>
      <c r="C6" s="167">
        <v>2022.0</v>
      </c>
      <c r="D6" s="168" t="s">
        <v>15</v>
      </c>
      <c r="E6" s="169" t="s">
        <v>16</v>
      </c>
      <c r="F6" s="170">
        <v>0.7968471641377171</v>
      </c>
      <c r="G6" s="171">
        <v>3.0</v>
      </c>
      <c r="H6" s="170">
        <v>0.5</v>
      </c>
      <c r="I6" s="170">
        <v>0.0</v>
      </c>
      <c r="J6" s="170">
        <v>0.0</v>
      </c>
      <c r="K6" s="170">
        <v>0.26228131491393386</v>
      </c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ht="14.25" customHeight="1">
      <c r="A7" s="147"/>
      <c r="B7" s="67">
        <v>2.0</v>
      </c>
      <c r="C7" s="167"/>
      <c r="D7" s="168" t="s">
        <v>98</v>
      </c>
      <c r="E7" s="169" t="s">
        <v>99</v>
      </c>
      <c r="F7" s="170">
        <v>0.9152392638848016</v>
      </c>
      <c r="G7" s="171">
        <v>3.0</v>
      </c>
      <c r="H7" s="170">
        <v>0.3333333333333333</v>
      </c>
      <c r="I7" s="170">
        <v>0.0</v>
      </c>
      <c r="J7" s="170">
        <v>6.780847090541939E-6</v>
      </c>
      <c r="K7" s="170">
        <v>0.21394419221723512</v>
      </c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ht="14.25" customHeight="1">
      <c r="A8" s="147"/>
      <c r="B8" s="67">
        <v>3.0</v>
      </c>
      <c r="C8" s="167"/>
      <c r="D8" s="168" t="s">
        <v>78</v>
      </c>
      <c r="E8" s="169" t="s">
        <v>79</v>
      </c>
      <c r="F8" s="170">
        <v>0.5318543306204202</v>
      </c>
      <c r="G8" s="171">
        <v>3.0</v>
      </c>
      <c r="H8" s="170">
        <v>0.6</v>
      </c>
      <c r="I8" s="170">
        <v>0.0</v>
      </c>
      <c r="J8" s="170">
        <v>0.015684491645567417</v>
      </c>
      <c r="K8" s="170">
        <v>0.1848469309510599</v>
      </c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ht="14.25" customHeight="1">
      <c r="A9" s="147"/>
      <c r="B9" s="67">
        <v>4.0</v>
      </c>
      <c r="C9" s="167"/>
      <c r="D9" s="168" t="s">
        <v>104</v>
      </c>
      <c r="E9" s="169" t="s">
        <v>105</v>
      </c>
      <c r="F9" s="170">
        <v>0.8169222011373884</v>
      </c>
      <c r="G9" s="171">
        <v>3.0</v>
      </c>
      <c r="H9" s="170">
        <v>0.375</v>
      </c>
      <c r="I9" s="170">
        <v>0.2</v>
      </c>
      <c r="J9" s="170">
        <v>0.09894075438923439</v>
      </c>
      <c r="K9" s="170">
        <v>0.3869420462514994</v>
      </c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ht="14.25" customHeight="1">
      <c r="A10" s="147"/>
      <c r="B10" s="67">
        <v>5.0</v>
      </c>
      <c r="C10" s="167"/>
      <c r="D10" s="168" t="s">
        <v>18</v>
      </c>
      <c r="E10" s="169" t="s">
        <v>19</v>
      </c>
      <c r="F10" s="170">
        <v>0.5414375</v>
      </c>
      <c r="G10" s="171">
        <v>3.0</v>
      </c>
      <c r="H10" s="170">
        <v>0.3333333333333333</v>
      </c>
      <c r="I10" s="170">
        <v>0.0</v>
      </c>
      <c r="J10" s="170">
        <v>9.163E-4</v>
      </c>
      <c r="K10" s="170">
        <v>0.19481752543687408</v>
      </c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ht="14.25" customHeight="1">
      <c r="A11" s="147"/>
      <c r="B11" s="67">
        <v>6.0</v>
      </c>
      <c r="C11" s="167"/>
      <c r="D11" s="168" t="s">
        <v>108</v>
      </c>
      <c r="E11" s="169" t="s">
        <v>109</v>
      </c>
      <c r="F11" s="170">
        <v>0.0019055734919286322</v>
      </c>
      <c r="G11" s="171">
        <v>3.0</v>
      </c>
      <c r="H11" s="170">
        <v>0.5</v>
      </c>
      <c r="I11" s="170">
        <v>0.0</v>
      </c>
      <c r="J11" s="170">
        <v>0.008623619371282922</v>
      </c>
      <c r="K11" s="170">
        <v>0.21217634719685716</v>
      </c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ht="14.25" customHeight="1">
      <c r="A12" s="147"/>
      <c r="B12" s="67">
        <v>7.0</v>
      </c>
      <c r="C12" s="167"/>
      <c r="D12" s="168" t="s">
        <v>222</v>
      </c>
      <c r="E12" s="169" t="s">
        <v>223</v>
      </c>
      <c r="F12" s="170">
        <v>0.8702033613445378</v>
      </c>
      <c r="G12" s="171">
        <v>3.0</v>
      </c>
      <c r="H12" s="170">
        <v>0.3333333333333333</v>
      </c>
      <c r="I12" s="170">
        <v>0.3333333333333333</v>
      </c>
      <c r="J12" s="170">
        <v>0.0</v>
      </c>
      <c r="K12" s="170">
        <v>0.22053597059476188</v>
      </c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ht="14.25" customHeight="1">
      <c r="A13" s="147"/>
      <c r="B13" s="67">
        <v>8.0</v>
      </c>
      <c r="C13" s="167"/>
      <c r="D13" s="168" t="s">
        <v>74</v>
      </c>
      <c r="E13" s="169" t="s">
        <v>75</v>
      </c>
      <c r="F13" s="170">
        <v>0.7688</v>
      </c>
      <c r="G13" s="171">
        <v>3.0</v>
      </c>
      <c r="H13" s="170">
        <v>0.3333333333333333</v>
      </c>
      <c r="I13" s="170">
        <v>0.3333333333333333</v>
      </c>
      <c r="J13" s="170">
        <v>0.00878442382331567</v>
      </c>
      <c r="K13" s="170">
        <v>0.2140321000609366</v>
      </c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ht="14.25" customHeight="1">
      <c r="A14" s="147"/>
      <c r="B14" s="67">
        <v>9.0</v>
      </c>
      <c r="C14" s="167"/>
      <c r="D14" s="168" t="s">
        <v>28</v>
      </c>
      <c r="E14" s="169" t="s">
        <v>29</v>
      </c>
      <c r="F14" s="170">
        <v>0.0019055734919286322</v>
      </c>
      <c r="G14" s="171">
        <v>3.0</v>
      </c>
      <c r="H14" s="170">
        <v>0.3333333333333333</v>
      </c>
      <c r="I14" s="170">
        <v>0.0</v>
      </c>
      <c r="J14" s="170">
        <v>0.7650503492073975</v>
      </c>
      <c r="K14" s="170">
        <v>0.21011834275457844</v>
      </c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ht="14.25" customHeight="1">
      <c r="A15" s="147"/>
      <c r="B15" s="67">
        <v>10.0</v>
      </c>
      <c r="C15" s="167"/>
      <c r="D15" s="168" t="s">
        <v>24</v>
      </c>
      <c r="E15" s="169" t="s">
        <v>25</v>
      </c>
      <c r="F15" s="170">
        <v>0.9928911022075863</v>
      </c>
      <c r="G15" s="171">
        <v>3.0</v>
      </c>
      <c r="H15" s="170">
        <v>0.3333333333333333</v>
      </c>
      <c r="I15" s="170">
        <v>0.16666666666666666</v>
      </c>
      <c r="J15" s="170">
        <v>0.0</v>
      </c>
      <c r="K15" s="170">
        <v>0.1714180790960452</v>
      </c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ht="14.25" customHeight="1">
      <c r="A16" s="147"/>
      <c r="B16" s="67">
        <v>11.0</v>
      </c>
      <c r="C16" s="167"/>
      <c r="D16" s="168" t="s">
        <v>110</v>
      </c>
      <c r="E16" s="169" t="s">
        <v>111</v>
      </c>
      <c r="F16" s="170">
        <v>0.8056326628833994</v>
      </c>
      <c r="G16" s="171">
        <v>3.0</v>
      </c>
      <c r="H16" s="170">
        <v>0.3333333333333333</v>
      </c>
      <c r="I16" s="170">
        <v>0.0</v>
      </c>
      <c r="J16" s="170">
        <v>1.9052788337479195E-4</v>
      </c>
      <c r="K16" s="170">
        <v>0.21545106874857084</v>
      </c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ht="14.25" customHeight="1">
      <c r="A17" s="147"/>
      <c r="B17" s="67">
        <v>12.0</v>
      </c>
      <c r="C17" s="167"/>
      <c r="D17" s="168" t="s">
        <v>26</v>
      </c>
      <c r="E17" s="169" t="s">
        <v>27</v>
      </c>
      <c r="F17" s="170">
        <v>0.9118223912195121</v>
      </c>
      <c r="G17" s="171">
        <v>3.0</v>
      </c>
      <c r="H17" s="170">
        <v>0.3333333333333333</v>
      </c>
      <c r="I17" s="170">
        <v>0.0</v>
      </c>
      <c r="J17" s="170">
        <v>0.0</v>
      </c>
      <c r="K17" s="170">
        <v>0.23545600797937674</v>
      </c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ht="14.25" customHeight="1">
      <c r="A18" s="147"/>
      <c r="B18" s="67">
        <v>13.0</v>
      </c>
      <c r="C18" s="167"/>
      <c r="D18" s="168" t="s">
        <v>30</v>
      </c>
      <c r="E18" s="169" t="s">
        <v>31</v>
      </c>
      <c r="F18" s="170">
        <v>0.6694558064384584</v>
      </c>
      <c r="G18" s="171">
        <v>3.0</v>
      </c>
      <c r="H18" s="170">
        <v>0.4</v>
      </c>
      <c r="I18" s="170">
        <v>0.0</v>
      </c>
      <c r="J18" s="170">
        <v>0.0</v>
      </c>
      <c r="K18" s="170">
        <v>0.21802620943031287</v>
      </c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ht="14.25" customHeight="1">
      <c r="A19" s="147"/>
      <c r="B19" s="67">
        <v>14.0</v>
      </c>
      <c r="C19" s="167"/>
      <c r="D19" s="168" t="s">
        <v>120</v>
      </c>
      <c r="E19" s="169" t="s">
        <v>121</v>
      </c>
      <c r="F19" s="170">
        <v>0.2061426656931787</v>
      </c>
      <c r="G19" s="171">
        <v>3.0</v>
      </c>
      <c r="H19" s="170">
        <v>0.6</v>
      </c>
      <c r="I19" s="170">
        <v>0.0</v>
      </c>
      <c r="J19" s="170">
        <v>0.39634833089873334</v>
      </c>
      <c r="K19" s="170">
        <v>0.2339130870633051</v>
      </c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ht="14.25" customHeight="1">
      <c r="A20" s="147"/>
      <c r="B20" s="67">
        <v>15.0</v>
      </c>
      <c r="C20" s="167"/>
      <c r="D20" s="168" t="s">
        <v>118</v>
      </c>
      <c r="E20" s="169" t="s">
        <v>119</v>
      </c>
      <c r="F20" s="170">
        <v>0.6929469874438349</v>
      </c>
      <c r="G20" s="171">
        <v>3.0</v>
      </c>
      <c r="H20" s="170">
        <v>0.4</v>
      </c>
      <c r="I20" s="170">
        <v>0.25</v>
      </c>
      <c r="J20" s="170">
        <v>0.0</v>
      </c>
      <c r="K20" s="170">
        <v>0.17006748067342814</v>
      </c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ht="14.25" customHeight="1">
      <c r="A21" s="147"/>
      <c r="B21" s="67">
        <v>16.0</v>
      </c>
      <c r="C21" s="167"/>
      <c r="D21" s="168" t="s">
        <v>32</v>
      </c>
      <c r="E21" s="169" t="s">
        <v>33</v>
      </c>
      <c r="F21" s="170">
        <v>0.755938630747944</v>
      </c>
      <c r="G21" s="171">
        <v>3.0</v>
      </c>
      <c r="H21" s="170">
        <v>0.3333333333333333</v>
      </c>
      <c r="I21" s="170">
        <v>0.3333333333333333</v>
      </c>
      <c r="J21" s="170">
        <v>0.09176716627409479</v>
      </c>
      <c r="K21" s="170">
        <v>0.25067319659079335</v>
      </c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ht="14.25" customHeight="1">
      <c r="A22" s="147"/>
      <c r="B22" s="67">
        <v>17.0</v>
      </c>
      <c r="C22" s="167"/>
      <c r="D22" s="168" t="s">
        <v>126</v>
      </c>
      <c r="E22" s="169" t="s">
        <v>127</v>
      </c>
      <c r="F22" s="170">
        <v>0.9793414809646169</v>
      </c>
      <c r="G22" s="171">
        <v>3.0</v>
      </c>
      <c r="H22" s="170">
        <v>0.3333333333333333</v>
      </c>
      <c r="I22" s="170">
        <v>0.0</v>
      </c>
      <c r="J22" s="170">
        <v>0.0017122496898812688</v>
      </c>
      <c r="K22" s="170">
        <v>0.23158417918342408</v>
      </c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ht="14.25" customHeight="1">
      <c r="A23" s="147"/>
      <c r="B23" s="67">
        <v>18.0</v>
      </c>
      <c r="C23" s="167"/>
      <c r="D23" s="168" t="s">
        <v>134</v>
      </c>
      <c r="E23" s="169" t="s">
        <v>135</v>
      </c>
      <c r="F23" s="170">
        <v>0.8499999917341978</v>
      </c>
      <c r="G23" s="171">
        <v>3.0</v>
      </c>
      <c r="H23" s="170">
        <v>0.5</v>
      </c>
      <c r="I23" s="170">
        <v>0.0</v>
      </c>
      <c r="J23" s="170">
        <v>0.0</v>
      </c>
      <c r="K23" s="170">
        <v>0.24593617054524639</v>
      </c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ht="14.25" customHeight="1">
      <c r="A24" s="147"/>
      <c r="B24" s="67">
        <v>19.0</v>
      </c>
      <c r="C24" s="167"/>
      <c r="D24" s="168" t="s">
        <v>234</v>
      </c>
      <c r="E24" s="169" t="s">
        <v>235</v>
      </c>
      <c r="F24" s="170">
        <v>0.8947627083333334</v>
      </c>
      <c r="G24" s="171">
        <v>3.0</v>
      </c>
      <c r="H24" s="170">
        <v>0.5</v>
      </c>
      <c r="I24" s="170">
        <v>0.2</v>
      </c>
      <c r="J24" s="170">
        <v>0.0</v>
      </c>
      <c r="K24" s="170">
        <v>0.22200838925474645</v>
      </c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ht="14.25" customHeight="1">
      <c r="A25" s="147"/>
      <c r="B25" s="67">
        <v>20.0</v>
      </c>
      <c r="C25" s="167"/>
      <c r="D25" s="168" t="s">
        <v>40</v>
      </c>
      <c r="E25" s="169" t="s">
        <v>41</v>
      </c>
      <c r="F25" s="170">
        <v>0.91</v>
      </c>
      <c r="G25" s="171">
        <v>3.0</v>
      </c>
      <c r="H25" s="170">
        <v>0.5</v>
      </c>
      <c r="I25" s="170">
        <v>0.0</v>
      </c>
      <c r="J25" s="170">
        <v>0.006728865831500431</v>
      </c>
      <c r="K25" s="170">
        <v>0.2377002627984317</v>
      </c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ht="14.25" customHeight="1">
      <c r="A26" s="147"/>
      <c r="B26" s="67">
        <v>21.0</v>
      </c>
      <c r="C26" s="167"/>
      <c r="D26" s="168" t="s">
        <v>38</v>
      </c>
      <c r="E26" s="169" t="s">
        <v>39</v>
      </c>
      <c r="F26" s="170">
        <v>0.517231315398124</v>
      </c>
      <c r="G26" s="171">
        <v>3.0</v>
      </c>
      <c r="H26" s="170">
        <v>0.3333333333333333</v>
      </c>
      <c r="I26" s="170">
        <v>0.0</v>
      </c>
      <c r="J26" s="170">
        <v>0.09230400146614517</v>
      </c>
      <c r="K26" s="170">
        <v>0.22623225468889455</v>
      </c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ht="14.25" customHeight="1">
      <c r="A27" s="147"/>
      <c r="B27" s="67">
        <v>22.0</v>
      </c>
      <c r="C27" s="167"/>
      <c r="D27" s="168" t="s">
        <v>140</v>
      </c>
      <c r="E27" s="169" t="s">
        <v>141</v>
      </c>
      <c r="F27" s="170">
        <v>0.72746025</v>
      </c>
      <c r="G27" s="171">
        <v>3.0</v>
      </c>
      <c r="H27" s="170">
        <v>0.3333333333333333</v>
      </c>
      <c r="I27" s="170">
        <v>0.0</v>
      </c>
      <c r="J27" s="170">
        <v>0.26691018333333333</v>
      </c>
      <c r="K27" s="170">
        <v>0.18699936733971712</v>
      </c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ht="14.25" customHeight="1">
      <c r="A28" s="147"/>
      <c r="B28" s="67">
        <v>23.0</v>
      </c>
      <c r="C28" s="167"/>
      <c r="D28" s="168" t="s">
        <v>42</v>
      </c>
      <c r="E28" s="169" t="s">
        <v>43</v>
      </c>
      <c r="F28" s="170">
        <v>0.9536358438797401</v>
      </c>
      <c r="G28" s="171">
        <v>3.0</v>
      </c>
      <c r="H28" s="170">
        <v>0.5</v>
      </c>
      <c r="I28" s="170">
        <v>0.5</v>
      </c>
      <c r="J28" s="170">
        <v>0.0</v>
      </c>
      <c r="K28" s="170">
        <v>0.23562203533179202</v>
      </c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ht="14.25" customHeight="1">
      <c r="A29" s="147"/>
      <c r="B29" s="67">
        <v>24.0</v>
      </c>
      <c r="C29" s="167"/>
      <c r="D29" s="168" t="s">
        <v>44</v>
      </c>
      <c r="E29" s="169" t="s">
        <v>45</v>
      </c>
      <c r="F29" s="170">
        <v>0.8053294538080733</v>
      </c>
      <c r="G29" s="171">
        <v>3.0</v>
      </c>
      <c r="H29" s="170">
        <v>0.5</v>
      </c>
      <c r="I29" s="170">
        <v>0.0625</v>
      </c>
      <c r="J29" s="170">
        <v>0.0</v>
      </c>
      <c r="K29" s="170">
        <v>0.2396144516194188</v>
      </c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ht="14.25" customHeight="1">
      <c r="A30" s="147"/>
      <c r="B30" s="67">
        <v>25.0</v>
      </c>
      <c r="C30" s="167"/>
      <c r="D30" s="168" t="s">
        <v>46</v>
      </c>
      <c r="E30" s="169" t="s">
        <v>47</v>
      </c>
      <c r="F30" s="170">
        <v>0.9658999999601386</v>
      </c>
      <c r="G30" s="171">
        <v>3.0</v>
      </c>
      <c r="H30" s="170">
        <v>0.375</v>
      </c>
      <c r="I30" s="170">
        <v>0.10526315789473684</v>
      </c>
      <c r="J30" s="170">
        <v>1.571700417969446E-4</v>
      </c>
      <c r="K30" s="170">
        <v>0.25377511463202684</v>
      </c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ht="14.25" customHeight="1">
      <c r="A31" s="147"/>
      <c r="B31" s="67">
        <v>26.0</v>
      </c>
      <c r="C31" s="167"/>
      <c r="D31" s="168" t="s">
        <v>150</v>
      </c>
      <c r="E31" s="169" t="s">
        <v>151</v>
      </c>
      <c r="F31" s="170">
        <v>0.07015902712815715</v>
      </c>
      <c r="G31" s="171">
        <v>3.0</v>
      </c>
      <c r="H31" s="170">
        <v>0.5</v>
      </c>
      <c r="I31" s="170">
        <v>0.25</v>
      </c>
      <c r="J31" s="170">
        <v>0.638510927799983</v>
      </c>
      <c r="K31" s="170">
        <v>0.25797866165747757</v>
      </c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ht="14.25" customHeight="1">
      <c r="A32" s="147"/>
      <c r="B32" s="67">
        <v>27.0</v>
      </c>
      <c r="C32" s="167"/>
      <c r="D32" s="168" t="s">
        <v>48</v>
      </c>
      <c r="E32" s="169" t="s">
        <v>49</v>
      </c>
      <c r="F32" s="170">
        <v>0.8993096658008631</v>
      </c>
      <c r="G32" s="171">
        <v>3.0</v>
      </c>
      <c r="H32" s="170">
        <v>0.5</v>
      </c>
      <c r="I32" s="170">
        <v>0.0</v>
      </c>
      <c r="J32" s="170">
        <v>2.5453296881987054E-4</v>
      </c>
      <c r="K32" s="170">
        <v>0.2371916712415114</v>
      </c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ht="14.25" customHeight="1">
      <c r="A33" s="147"/>
      <c r="B33" s="67">
        <v>28.0</v>
      </c>
      <c r="C33" s="167"/>
      <c r="D33" s="168" t="s">
        <v>178</v>
      </c>
      <c r="E33" s="169" t="s">
        <v>179</v>
      </c>
      <c r="F33" s="170">
        <v>0.9060844</v>
      </c>
      <c r="G33" s="171">
        <v>3.0</v>
      </c>
      <c r="H33" s="170">
        <v>0.3333333333333333</v>
      </c>
      <c r="I33" s="170">
        <v>0.0</v>
      </c>
      <c r="J33" s="170">
        <v>0.0</v>
      </c>
      <c r="K33" s="170">
        <v>0.21955702448995265</v>
      </c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ht="14.25" customHeight="1">
      <c r="A34" s="147"/>
      <c r="B34" s="67">
        <v>29.0</v>
      </c>
      <c r="C34" s="167"/>
      <c r="D34" s="168" t="s">
        <v>162</v>
      </c>
      <c r="E34" s="169" t="s">
        <v>163</v>
      </c>
      <c r="F34" s="170">
        <v>0.76190476375</v>
      </c>
      <c r="G34" s="171">
        <v>3.0</v>
      </c>
      <c r="H34" s="170">
        <v>0.5</v>
      </c>
      <c r="I34" s="170">
        <v>0.25</v>
      </c>
      <c r="J34" s="170">
        <v>0.02803175875</v>
      </c>
      <c r="K34" s="170">
        <v>0.21631048672841346</v>
      </c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ht="14.25" customHeight="1">
      <c r="A35" s="147"/>
      <c r="B35" s="67">
        <v>30.0</v>
      </c>
      <c r="C35" s="167"/>
      <c r="D35" s="168" t="s">
        <v>68</v>
      </c>
      <c r="E35" s="169" t="s">
        <v>69</v>
      </c>
      <c r="F35" s="170">
        <v>0.5961901457055573</v>
      </c>
      <c r="G35" s="171">
        <v>3.0</v>
      </c>
      <c r="H35" s="170">
        <v>0.4</v>
      </c>
      <c r="I35" s="170">
        <v>0.1111111111111111</v>
      </c>
      <c r="J35" s="170">
        <v>3.108520823394116E-5</v>
      </c>
      <c r="K35" s="170">
        <v>0.193404881089188</v>
      </c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ht="14.25" customHeight="1">
      <c r="A36" s="147"/>
      <c r="B36" s="67">
        <v>31.0</v>
      </c>
      <c r="C36" s="167"/>
      <c r="D36" s="168" t="s">
        <v>52</v>
      </c>
      <c r="E36" s="169" t="s">
        <v>53</v>
      </c>
      <c r="F36" s="170">
        <v>0.572704921049693</v>
      </c>
      <c r="G36" s="171">
        <v>3.0</v>
      </c>
      <c r="H36" s="170">
        <v>0.6</v>
      </c>
      <c r="I36" s="170">
        <v>0.0</v>
      </c>
      <c r="J36" s="170">
        <v>0.003300993858179788</v>
      </c>
      <c r="K36" s="170">
        <v>0.1763020915313837</v>
      </c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ht="14.25" customHeight="1">
      <c r="A37" s="147"/>
      <c r="B37" s="67">
        <v>32.0</v>
      </c>
      <c r="C37" s="167"/>
      <c r="D37" s="168" t="s">
        <v>58</v>
      </c>
      <c r="E37" s="169" t="s">
        <v>59</v>
      </c>
      <c r="F37" s="170">
        <v>0.9585427253358627</v>
      </c>
      <c r="G37" s="171">
        <v>3.0</v>
      </c>
      <c r="H37" s="170">
        <v>0.5</v>
      </c>
      <c r="I37" s="170">
        <v>0.2</v>
      </c>
      <c r="J37" s="170">
        <v>0.0065051019080591445</v>
      </c>
      <c r="K37" s="170">
        <v>0.19372915492474058</v>
      </c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ht="14.25" customHeight="1">
      <c r="A38" s="147"/>
      <c r="B38" s="67">
        <v>33.0</v>
      </c>
      <c r="C38" s="167"/>
      <c r="D38" s="168" t="s">
        <v>60</v>
      </c>
      <c r="E38" s="169" t="s">
        <v>61</v>
      </c>
      <c r="F38" s="170">
        <v>0.8931898433792121</v>
      </c>
      <c r="G38" s="171">
        <v>3.0</v>
      </c>
      <c r="H38" s="170">
        <v>0.5</v>
      </c>
      <c r="I38" s="170">
        <v>0.5</v>
      </c>
      <c r="J38" s="170">
        <v>0.0</v>
      </c>
      <c r="K38" s="170">
        <v>0.2579898546876141</v>
      </c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ht="14.25" customHeight="1">
      <c r="A39" s="147"/>
      <c r="B39" s="67">
        <v>34.0</v>
      </c>
      <c r="C39" s="167"/>
      <c r="D39" s="168" t="s">
        <v>62</v>
      </c>
      <c r="E39" s="169" t="s">
        <v>63</v>
      </c>
      <c r="F39" s="170">
        <v>0.5856202741604056</v>
      </c>
      <c r="G39" s="171">
        <v>3.0</v>
      </c>
      <c r="H39" s="170">
        <v>0.4</v>
      </c>
      <c r="I39" s="170">
        <v>0.0</v>
      </c>
      <c r="J39" s="170">
        <v>4.667855807654317E-6</v>
      </c>
      <c r="K39" s="170">
        <v>1.6669652415179255</v>
      </c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ht="14.25" customHeight="1">
      <c r="A40" s="147"/>
      <c r="B40" s="67">
        <v>35.0</v>
      </c>
      <c r="C40" s="167"/>
      <c r="D40" s="168" t="s">
        <v>54</v>
      </c>
      <c r="E40" s="169" t="s">
        <v>55</v>
      </c>
      <c r="F40" s="170">
        <v>0.5907083858831151</v>
      </c>
      <c r="G40" s="171">
        <v>3.0</v>
      </c>
      <c r="H40" s="170">
        <v>0.4</v>
      </c>
      <c r="I40" s="170">
        <v>0.0</v>
      </c>
      <c r="J40" s="170">
        <v>0.2525240988717648</v>
      </c>
      <c r="K40" s="170">
        <v>0.2138789616556263</v>
      </c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ht="14.25" customHeight="1">
      <c r="A41" s="147"/>
      <c r="B41" s="67">
        <v>36.0</v>
      </c>
      <c r="C41" s="167"/>
      <c r="D41" s="168" t="s">
        <v>190</v>
      </c>
      <c r="E41" s="169" t="s">
        <v>191</v>
      </c>
      <c r="F41" s="170">
        <v>0.9989610043550116</v>
      </c>
      <c r="G41" s="171">
        <v>3.0</v>
      </c>
      <c r="H41" s="170">
        <v>0.5</v>
      </c>
      <c r="I41" s="170">
        <v>0.0</v>
      </c>
      <c r="J41" s="170">
        <v>0.0</v>
      </c>
      <c r="K41" s="170">
        <v>0.11451296496314255</v>
      </c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ht="14.25" customHeight="1">
      <c r="A42" s="147"/>
      <c r="B42" s="67">
        <v>37.0</v>
      </c>
      <c r="C42" s="167"/>
      <c r="D42" s="168" t="s">
        <v>64</v>
      </c>
      <c r="E42" s="169" t="s">
        <v>65</v>
      </c>
      <c r="F42" s="170">
        <v>0.8827834801061007</v>
      </c>
      <c r="G42" s="171">
        <v>3.0</v>
      </c>
      <c r="H42" s="170">
        <v>0.5</v>
      </c>
      <c r="I42" s="170">
        <v>0.42857142857142855</v>
      </c>
      <c r="J42" s="170">
        <v>0.08488063660477453</v>
      </c>
      <c r="K42" s="170">
        <v>0.19103751017904452</v>
      </c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ht="14.25" customHeight="1">
      <c r="A43" s="147"/>
      <c r="B43" s="67">
        <v>38.0</v>
      </c>
      <c r="C43" s="167"/>
      <c r="D43" s="168" t="s">
        <v>184</v>
      </c>
      <c r="E43" s="169" t="s">
        <v>185</v>
      </c>
      <c r="F43" s="170">
        <v>0.9948106385413101</v>
      </c>
      <c r="G43" s="171">
        <v>3.0</v>
      </c>
      <c r="H43" s="170">
        <v>0.3333333333333333</v>
      </c>
      <c r="I43" s="170">
        <v>0.6</v>
      </c>
      <c r="J43" s="170">
        <v>0.0</v>
      </c>
      <c r="K43" s="170">
        <v>0.24535481401163833</v>
      </c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ht="14.25" customHeight="1">
      <c r="A44" s="147"/>
      <c r="B44" s="67">
        <v>39.0</v>
      </c>
      <c r="C44" s="167"/>
      <c r="D44" s="168" t="s">
        <v>176</v>
      </c>
      <c r="E44" s="169" t="s">
        <v>177</v>
      </c>
      <c r="F44" s="170">
        <v>0.9254217103610675</v>
      </c>
      <c r="G44" s="171">
        <v>2.0</v>
      </c>
      <c r="H44" s="170">
        <v>0.8333333333333334</v>
      </c>
      <c r="I44" s="170">
        <v>0.0</v>
      </c>
      <c r="J44" s="170">
        <v>0.0</v>
      </c>
      <c r="K44" s="170">
        <v>0.3290926719581874</v>
      </c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14.25" customHeight="1">
      <c r="A45" s="147"/>
      <c r="B45" s="67">
        <v>40.0</v>
      </c>
      <c r="C45" s="167"/>
      <c r="D45" s="168" t="s">
        <v>72</v>
      </c>
      <c r="E45" s="169" t="s">
        <v>73</v>
      </c>
      <c r="F45" s="170">
        <v>0.935616637212131</v>
      </c>
      <c r="G45" s="171">
        <v>3.0</v>
      </c>
      <c r="H45" s="170">
        <v>0.6666666666666666</v>
      </c>
      <c r="I45" s="170">
        <v>0.0</v>
      </c>
      <c r="J45" s="170">
        <v>0.0</v>
      </c>
      <c r="K45" s="170">
        <v>0.2596765474463316</v>
      </c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ht="14.25" customHeight="1">
      <c r="A46" s="147"/>
      <c r="B46" s="67">
        <v>41.0</v>
      </c>
      <c r="C46" s="167"/>
      <c r="D46" s="168" t="s">
        <v>70</v>
      </c>
      <c r="E46" s="169" t="s">
        <v>71</v>
      </c>
      <c r="F46" s="170">
        <v>0.8758</v>
      </c>
      <c r="G46" s="171">
        <v>3.0</v>
      </c>
      <c r="H46" s="170">
        <v>0.3333333333333333</v>
      </c>
      <c r="I46" s="170">
        <v>0.1111111111111111</v>
      </c>
      <c r="J46" s="170">
        <v>5.93498226924047E-5</v>
      </c>
      <c r="K46" s="170">
        <v>0.3702070016262089</v>
      </c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ht="14.25" customHeight="1">
      <c r="A47" s="147"/>
      <c r="B47" s="67">
        <v>42.0</v>
      </c>
      <c r="C47" s="167"/>
      <c r="D47" s="168" t="s">
        <v>202</v>
      </c>
      <c r="E47" s="169" t="s">
        <v>203</v>
      </c>
      <c r="F47" s="170">
        <v>0.9776838045546772</v>
      </c>
      <c r="G47" s="171">
        <v>3.0</v>
      </c>
      <c r="H47" s="170">
        <v>0.3333333333333333</v>
      </c>
      <c r="I47" s="170">
        <v>0.2</v>
      </c>
      <c r="J47" s="170">
        <v>0.005296151014744322</v>
      </c>
      <c r="K47" s="170">
        <v>0.19011599043311347</v>
      </c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ht="14.25" customHeight="1">
      <c r="A48" s="147"/>
      <c r="B48" s="67">
        <v>43.0</v>
      </c>
      <c r="C48" s="167"/>
      <c r="D48" s="168" t="s">
        <v>206</v>
      </c>
      <c r="E48" s="169" t="s">
        <v>207</v>
      </c>
      <c r="F48" s="170">
        <v>0.9239968319737425</v>
      </c>
      <c r="G48" s="171">
        <v>3.0</v>
      </c>
      <c r="H48" s="170">
        <v>0.42857142857142855</v>
      </c>
      <c r="I48" s="170">
        <v>0.0</v>
      </c>
      <c r="J48" s="170">
        <v>0.0</v>
      </c>
      <c r="K48" s="170">
        <v>0.19115788180701915</v>
      </c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ht="14.25" customHeight="1">
      <c r="A49" s="147"/>
      <c r="B49" s="67">
        <v>44.0</v>
      </c>
      <c r="C49" s="167"/>
      <c r="D49" s="168" t="s">
        <v>76</v>
      </c>
      <c r="E49" s="169" t="s">
        <v>77</v>
      </c>
      <c r="F49" s="170">
        <v>0.6415766729658793</v>
      </c>
      <c r="G49" s="171">
        <v>3.0</v>
      </c>
      <c r="H49" s="170">
        <v>0.3333333333333333</v>
      </c>
      <c r="I49" s="170">
        <v>0.0</v>
      </c>
      <c r="J49" s="170">
        <v>6.299212598425197E-6</v>
      </c>
      <c r="K49" s="170">
        <v>0.18784217842114118</v>
      </c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14.25" customHeight="1">
      <c r="A50" s="147"/>
      <c r="B50" s="67">
        <v>45.0</v>
      </c>
      <c r="C50" s="167"/>
      <c r="D50" s="168" t="s">
        <v>204</v>
      </c>
      <c r="E50" s="169" t="s">
        <v>205</v>
      </c>
      <c r="F50" s="170">
        <v>0.6353971755725191</v>
      </c>
      <c r="G50" s="171">
        <v>3.0</v>
      </c>
      <c r="H50" s="170">
        <v>0.5</v>
      </c>
      <c r="I50" s="170">
        <v>0.0</v>
      </c>
      <c r="J50" s="170">
        <v>0.0</v>
      </c>
      <c r="K50" s="170">
        <v>0.17469988869026637</v>
      </c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ht="14.25" customHeight="1">
      <c r="A51" s="147"/>
      <c r="B51" s="67">
        <v>46.0</v>
      </c>
      <c r="C51" s="167"/>
      <c r="D51" s="168" t="s">
        <v>82</v>
      </c>
      <c r="E51" s="169" t="s">
        <v>83</v>
      </c>
      <c r="F51" s="170">
        <v>0.8657078691190145</v>
      </c>
      <c r="G51" s="171">
        <v>3.0</v>
      </c>
      <c r="H51" s="170">
        <v>0.375</v>
      </c>
      <c r="I51" s="170">
        <v>0.2</v>
      </c>
      <c r="J51" s="170">
        <v>0.0058982175580555435</v>
      </c>
      <c r="K51" s="170">
        <v>0.16277860103364314</v>
      </c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ht="14.25" customHeight="1">
      <c r="A52" s="147"/>
      <c r="B52" s="67">
        <v>47.0</v>
      </c>
      <c r="C52" s="167"/>
      <c r="D52" s="168" t="s">
        <v>84</v>
      </c>
      <c r="E52" s="169" t="s">
        <v>85</v>
      </c>
      <c r="F52" s="170">
        <v>0.5522764714186063</v>
      </c>
      <c r="G52" s="171">
        <v>3.0</v>
      </c>
      <c r="H52" s="170">
        <v>0.3333333333333333</v>
      </c>
      <c r="I52" s="170">
        <v>0.14285714285714285</v>
      </c>
      <c r="J52" s="170">
        <v>0.0</v>
      </c>
      <c r="K52" s="170">
        <v>0.21451939493373634</v>
      </c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ht="14.25" customHeight="1">
      <c r="A53" s="147"/>
      <c r="B53" s="67">
        <v>48.0</v>
      </c>
      <c r="C53" s="167"/>
      <c r="D53" s="168" t="s">
        <v>212</v>
      </c>
      <c r="E53" s="169" t="s">
        <v>213</v>
      </c>
      <c r="F53" s="170">
        <v>0.052146287451292496</v>
      </c>
      <c r="G53" s="171">
        <v>3.0</v>
      </c>
      <c r="H53" s="170">
        <v>0.4</v>
      </c>
      <c r="I53" s="170">
        <v>0.3333333333333333</v>
      </c>
      <c r="J53" s="170">
        <v>0.0046306843467191225</v>
      </c>
      <c r="K53" s="170">
        <v>0.20935608667943997</v>
      </c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ht="14.25" customHeight="1">
      <c r="A54" s="147"/>
      <c r="B54" s="67">
        <v>49.0</v>
      </c>
      <c r="C54" s="167"/>
      <c r="D54" s="168" t="s">
        <v>88</v>
      </c>
      <c r="E54" s="169" t="s">
        <v>89</v>
      </c>
      <c r="F54" s="170">
        <v>0.803190142993543</v>
      </c>
      <c r="G54" s="171">
        <v>3.0</v>
      </c>
      <c r="H54" s="170">
        <v>0.4</v>
      </c>
      <c r="I54" s="170">
        <v>0.25</v>
      </c>
      <c r="J54" s="170">
        <v>1.2029142377723105E-7</v>
      </c>
      <c r="K54" s="170">
        <v>0.27241853656952375</v>
      </c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ht="14.25" customHeight="1">
      <c r="A55" s="147"/>
      <c r="B55" s="67">
        <v>50.0</v>
      </c>
      <c r="C55" s="167"/>
      <c r="D55" s="168" t="s">
        <v>86</v>
      </c>
      <c r="E55" s="169" t="s">
        <v>87</v>
      </c>
      <c r="F55" s="170">
        <v>0.7794474957490618</v>
      </c>
      <c r="G55" s="171">
        <v>2.0</v>
      </c>
      <c r="H55" s="170">
        <v>0.3333333333333333</v>
      </c>
      <c r="I55" s="170">
        <v>0.0</v>
      </c>
      <c r="J55" s="170">
        <v>0.48751579257868244</v>
      </c>
      <c r="K55" s="170">
        <v>0.2509794429471574</v>
      </c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ht="14.25" customHeight="1">
      <c r="A56" s="147"/>
      <c r="B56" s="67">
        <v>51.0</v>
      </c>
      <c r="C56" s="167"/>
      <c r="D56" s="168" t="s">
        <v>226</v>
      </c>
      <c r="E56" s="169" t="s">
        <v>227</v>
      </c>
      <c r="F56" s="170">
        <v>0.4604975411000692</v>
      </c>
      <c r="G56" s="171">
        <v>3.0</v>
      </c>
      <c r="H56" s="170">
        <v>0.3333333333333333</v>
      </c>
      <c r="I56" s="170">
        <v>0.0</v>
      </c>
      <c r="J56" s="170">
        <v>0.0</v>
      </c>
      <c r="K56" s="170">
        <v>0.017439213619275876</v>
      </c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ht="14.25" customHeight="1">
      <c r="A57" s="147"/>
      <c r="B57" s="67">
        <v>52.0</v>
      </c>
      <c r="C57" s="167"/>
      <c r="D57" s="168" t="s">
        <v>90</v>
      </c>
      <c r="E57" s="169" t="s">
        <v>91</v>
      </c>
      <c r="F57" s="170">
        <v>0.9651050807077326</v>
      </c>
      <c r="G57" s="171">
        <v>3.0</v>
      </c>
      <c r="H57" s="170">
        <v>0.8333333333333334</v>
      </c>
      <c r="I57" s="170">
        <v>0.5</v>
      </c>
      <c r="J57" s="170">
        <v>0.0</v>
      </c>
      <c r="K57" s="170">
        <v>0.2329264922103182</v>
      </c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ht="14.25" customHeight="1">
      <c r="A58" s="147"/>
      <c r="B58" s="67">
        <v>53.0</v>
      </c>
      <c r="C58" s="167"/>
      <c r="D58" s="168" t="s">
        <v>92</v>
      </c>
      <c r="E58" s="169" t="s">
        <v>93</v>
      </c>
      <c r="F58" s="170">
        <v>0.8494856887298747</v>
      </c>
      <c r="G58" s="171">
        <v>3.0</v>
      </c>
      <c r="H58" s="170">
        <v>0.3333333333333333</v>
      </c>
      <c r="I58" s="170">
        <v>0.2</v>
      </c>
      <c r="J58" s="170">
        <v>2.4381335718545022E-4</v>
      </c>
      <c r="K58" s="170">
        <v>0.26252524124830995</v>
      </c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ht="14.25" customHeight="1">
      <c r="A59" s="147"/>
      <c r="B59" s="67">
        <v>54.0</v>
      </c>
      <c r="C59" s="167"/>
      <c r="D59" s="168" t="s">
        <v>94</v>
      </c>
      <c r="E59" s="169" t="s">
        <v>95</v>
      </c>
      <c r="F59" s="170">
        <v>0.6447466237208469</v>
      </c>
      <c r="G59" s="171">
        <v>3.0</v>
      </c>
      <c r="H59" s="170">
        <v>0.5</v>
      </c>
      <c r="I59" s="170">
        <v>0.0</v>
      </c>
      <c r="J59" s="170">
        <v>0.5381022223926452</v>
      </c>
      <c r="K59" s="170">
        <v>0.21857042049741165</v>
      </c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ht="14.25" customHeight="1">
      <c r="A60" s="147"/>
      <c r="B60" s="67">
        <v>55.0</v>
      </c>
      <c r="C60" s="167">
        <v>2023.0</v>
      </c>
      <c r="D60" s="168" t="s">
        <v>15</v>
      </c>
      <c r="E60" s="169" t="s">
        <v>16</v>
      </c>
      <c r="F60" s="170">
        <v>0.7968471641377171</v>
      </c>
      <c r="G60" s="171">
        <v>3.0</v>
      </c>
      <c r="H60" s="170">
        <v>0.5</v>
      </c>
      <c r="I60" s="170">
        <v>0.0</v>
      </c>
      <c r="J60" s="170">
        <v>0.0</v>
      </c>
      <c r="K60" s="170">
        <v>0.27377948389051543</v>
      </c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ht="14.25" customHeight="1">
      <c r="A61" s="147"/>
      <c r="B61" s="67">
        <v>56.0</v>
      </c>
      <c r="C61" s="167"/>
      <c r="D61" s="168" t="s">
        <v>98</v>
      </c>
      <c r="E61" s="169" t="s">
        <v>99</v>
      </c>
      <c r="F61" s="170">
        <v>0.9152392638848016</v>
      </c>
      <c r="G61" s="171">
        <v>3.0</v>
      </c>
      <c r="H61" s="170">
        <v>0.3333333333333333</v>
      </c>
      <c r="I61" s="170">
        <v>0.0</v>
      </c>
      <c r="J61" s="170">
        <v>6.780847090541939E-6</v>
      </c>
      <c r="K61" s="170">
        <v>0.21416261634740622</v>
      </c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ht="14.25" customHeight="1">
      <c r="A62" s="147"/>
      <c r="B62" s="67">
        <v>57.0</v>
      </c>
      <c r="C62" s="167"/>
      <c r="D62" s="168" t="s">
        <v>78</v>
      </c>
      <c r="E62" s="169" t="s">
        <v>79</v>
      </c>
      <c r="F62" s="170">
        <v>0.5318543306204202</v>
      </c>
      <c r="G62" s="171">
        <v>3.0</v>
      </c>
      <c r="H62" s="170">
        <v>0.5</v>
      </c>
      <c r="I62" s="170">
        <v>0.0</v>
      </c>
      <c r="J62" s="170">
        <v>0.014342370783946096</v>
      </c>
      <c r="K62" s="170">
        <v>0.18642160478821543</v>
      </c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ht="14.25" customHeight="1">
      <c r="A63" s="147"/>
      <c r="B63" s="67">
        <v>58.0</v>
      </c>
      <c r="C63" s="167"/>
      <c r="D63" s="168" t="s">
        <v>104</v>
      </c>
      <c r="E63" s="169" t="s">
        <v>105</v>
      </c>
      <c r="F63" s="170">
        <v>0.8169222011373884</v>
      </c>
      <c r="G63" s="171">
        <v>3.0</v>
      </c>
      <c r="H63" s="170">
        <v>0.42857142857142855</v>
      </c>
      <c r="I63" s="170">
        <v>0.16666666666666666</v>
      </c>
      <c r="J63" s="170">
        <v>0.09867992188839282</v>
      </c>
      <c r="K63" s="170">
        <v>0.3869420462514994</v>
      </c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ht="14.25" customHeight="1">
      <c r="A64" s="147"/>
      <c r="B64" s="67">
        <v>59.0</v>
      </c>
      <c r="C64" s="167"/>
      <c r="D64" s="168" t="s">
        <v>18</v>
      </c>
      <c r="E64" s="169" t="s">
        <v>19</v>
      </c>
      <c r="F64" s="170">
        <v>0.5414375</v>
      </c>
      <c r="G64" s="171">
        <v>3.0</v>
      </c>
      <c r="H64" s="170">
        <v>0.5</v>
      </c>
      <c r="I64" s="170">
        <v>0.0</v>
      </c>
      <c r="J64" s="170">
        <v>0.0010776333333333333</v>
      </c>
      <c r="K64" s="170">
        <v>0.18824900019757596</v>
      </c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ht="14.25" customHeight="1">
      <c r="A65" s="147"/>
      <c r="B65" s="67">
        <v>60.0</v>
      </c>
      <c r="C65" s="167"/>
      <c r="D65" s="168" t="s">
        <v>108</v>
      </c>
      <c r="E65" s="169" t="s">
        <v>109</v>
      </c>
      <c r="F65" s="170">
        <v>0.0021473916737468138</v>
      </c>
      <c r="G65" s="171">
        <v>3.0</v>
      </c>
      <c r="H65" s="170">
        <v>0.5</v>
      </c>
      <c r="I65" s="170">
        <v>0.0</v>
      </c>
      <c r="J65" s="170">
        <v>0.015204910790144435</v>
      </c>
      <c r="K65" s="170">
        <v>0.20694716780182976</v>
      </c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ht="14.25" customHeight="1">
      <c r="A66" s="147"/>
      <c r="B66" s="67">
        <v>61.0</v>
      </c>
      <c r="C66" s="167"/>
      <c r="D66" s="168" t="s">
        <v>222</v>
      </c>
      <c r="E66" s="169" t="s">
        <v>223</v>
      </c>
      <c r="F66" s="170">
        <v>0.8702033613445378</v>
      </c>
      <c r="G66" s="171">
        <v>3.0</v>
      </c>
      <c r="H66" s="170">
        <v>0.5</v>
      </c>
      <c r="I66" s="170">
        <v>0.3333333333333333</v>
      </c>
      <c r="J66" s="170">
        <v>0.0</v>
      </c>
      <c r="K66" s="170">
        <v>0.21568538163422457</v>
      </c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ht="14.25" customHeight="1">
      <c r="A67" s="147"/>
      <c r="B67" s="67">
        <v>62.0</v>
      </c>
      <c r="C67" s="167"/>
      <c r="D67" s="168" t="s">
        <v>74</v>
      </c>
      <c r="E67" s="169" t="s">
        <v>75</v>
      </c>
      <c r="F67" s="170">
        <v>0.7688</v>
      </c>
      <c r="G67" s="171">
        <v>3.0</v>
      </c>
      <c r="H67" s="170">
        <v>0.3333333333333333</v>
      </c>
      <c r="I67" s="170">
        <v>0.2</v>
      </c>
      <c r="J67" s="170">
        <v>0.010477569391459904</v>
      </c>
      <c r="K67" s="170">
        <v>0.21376573643459656</v>
      </c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ht="14.25" customHeight="1">
      <c r="A68" s="147"/>
      <c r="B68" s="67">
        <v>63.0</v>
      </c>
      <c r="C68" s="167"/>
      <c r="D68" s="168" t="s">
        <v>28</v>
      </c>
      <c r="E68" s="169" t="s">
        <v>29</v>
      </c>
      <c r="F68" s="170">
        <v>0.0021473916737468138</v>
      </c>
      <c r="G68" s="171">
        <v>4.0</v>
      </c>
      <c r="H68" s="170">
        <v>0.3333333333333333</v>
      </c>
      <c r="I68" s="170">
        <v>0.0</v>
      </c>
      <c r="J68" s="170">
        <v>0.7518337027452766</v>
      </c>
      <c r="K68" s="170">
        <v>0.20457762763282128</v>
      </c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ht="14.25" customHeight="1">
      <c r="A69" s="147"/>
      <c r="B69" s="67">
        <v>64.0</v>
      </c>
      <c r="C69" s="167"/>
      <c r="D69" s="168" t="s">
        <v>24</v>
      </c>
      <c r="E69" s="169" t="s">
        <v>25</v>
      </c>
      <c r="F69" s="170">
        <v>0.9909161895962922</v>
      </c>
      <c r="G69" s="171">
        <v>3.0</v>
      </c>
      <c r="H69" s="170">
        <v>0.5</v>
      </c>
      <c r="I69" s="170">
        <v>0.16666666666666666</v>
      </c>
      <c r="J69" s="170">
        <v>0.0</v>
      </c>
      <c r="K69" s="170">
        <v>0.22650085004930118</v>
      </c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14.25" customHeight="1">
      <c r="A70" s="147"/>
      <c r="B70" s="67">
        <v>65.0</v>
      </c>
      <c r="C70" s="167"/>
      <c r="D70" s="168" t="s">
        <v>110</v>
      </c>
      <c r="E70" s="169" t="s">
        <v>111</v>
      </c>
      <c r="F70" s="170">
        <v>0.7911395586191797</v>
      </c>
      <c r="G70" s="171">
        <v>3.0</v>
      </c>
      <c r="H70" s="170">
        <v>0.5</v>
      </c>
      <c r="I70" s="170">
        <v>0.0</v>
      </c>
      <c r="J70" s="170">
        <v>1.9052788337479195E-4</v>
      </c>
      <c r="K70" s="170">
        <v>0.23114724923119317</v>
      </c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14.25" customHeight="1">
      <c r="A71" s="147"/>
      <c r="B71" s="67">
        <v>66.0</v>
      </c>
      <c r="C71" s="167"/>
      <c r="D71" s="168" t="s">
        <v>26</v>
      </c>
      <c r="E71" s="169" t="s">
        <v>27</v>
      </c>
      <c r="F71" s="170">
        <v>0.8697155473170731</v>
      </c>
      <c r="G71" s="171">
        <v>3.0</v>
      </c>
      <c r="H71" s="170">
        <v>0.3333333333333333</v>
      </c>
      <c r="I71" s="170">
        <v>0.0</v>
      </c>
      <c r="J71" s="170">
        <v>0.0</v>
      </c>
      <c r="K71" s="170">
        <v>0.26405977624356824</v>
      </c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14.25" customHeight="1">
      <c r="A72" s="147"/>
      <c r="B72" s="67">
        <v>67.0</v>
      </c>
      <c r="C72" s="167"/>
      <c r="D72" s="168" t="s">
        <v>30</v>
      </c>
      <c r="E72" s="169" t="s">
        <v>31</v>
      </c>
      <c r="F72" s="170">
        <v>0.6638976353292952</v>
      </c>
      <c r="G72" s="171">
        <v>3.0</v>
      </c>
      <c r="H72" s="170">
        <v>0.4</v>
      </c>
      <c r="I72" s="170">
        <v>0.0</v>
      </c>
      <c r="J72" s="170">
        <v>0.0</v>
      </c>
      <c r="K72" s="170">
        <v>0.20514680951555808</v>
      </c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14.25" customHeight="1">
      <c r="A73" s="147"/>
      <c r="B73" s="67">
        <v>68.0</v>
      </c>
      <c r="C73" s="167"/>
      <c r="D73" s="168" t="s">
        <v>120</v>
      </c>
      <c r="E73" s="169" t="s">
        <v>121</v>
      </c>
      <c r="F73" s="170">
        <v>0.20615002705326235</v>
      </c>
      <c r="G73" s="171">
        <v>3.0</v>
      </c>
      <c r="H73" s="170">
        <v>0.8</v>
      </c>
      <c r="I73" s="170">
        <v>0.0</v>
      </c>
      <c r="J73" s="170">
        <v>0.39634833089873334</v>
      </c>
      <c r="K73" s="170">
        <v>0.22766089288653504</v>
      </c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4.25" customHeight="1">
      <c r="A74" s="147"/>
      <c r="B74" s="67">
        <v>69.0</v>
      </c>
      <c r="C74" s="167"/>
      <c r="D74" s="168" t="s">
        <v>118</v>
      </c>
      <c r="E74" s="169" t="s">
        <v>119</v>
      </c>
      <c r="F74" s="170">
        <v>0.6929469874438349</v>
      </c>
      <c r="G74" s="171">
        <v>3.0</v>
      </c>
      <c r="H74" s="170">
        <v>0.4</v>
      </c>
      <c r="I74" s="170">
        <v>0.25</v>
      </c>
      <c r="J74" s="170">
        <v>0.0</v>
      </c>
      <c r="K74" s="170">
        <v>0.22432204476945522</v>
      </c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4.25" customHeight="1">
      <c r="A75" s="147"/>
      <c r="B75" s="67">
        <v>70.0</v>
      </c>
      <c r="C75" s="167"/>
      <c r="D75" s="168" t="s">
        <v>32</v>
      </c>
      <c r="E75" s="169" t="s">
        <v>33</v>
      </c>
      <c r="F75" s="170">
        <v>0.7581191254315253</v>
      </c>
      <c r="G75" s="171">
        <v>3.0</v>
      </c>
      <c r="H75" s="170">
        <v>0.3333333333333333</v>
      </c>
      <c r="I75" s="170">
        <v>0.25</v>
      </c>
      <c r="J75" s="170">
        <v>0.14610453076170266</v>
      </c>
      <c r="K75" s="170">
        <v>0.26211356226268867</v>
      </c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4.25" customHeight="1">
      <c r="A76" s="147"/>
      <c r="B76" s="67">
        <v>71.0</v>
      </c>
      <c r="C76" s="167"/>
      <c r="D76" s="168" t="s">
        <v>126</v>
      </c>
      <c r="E76" s="169" t="s">
        <v>127</v>
      </c>
      <c r="F76" s="170">
        <v>0.9552895087571622</v>
      </c>
      <c r="G76" s="171">
        <v>3.0</v>
      </c>
      <c r="H76" s="170">
        <v>0.4</v>
      </c>
      <c r="I76" s="170">
        <v>0.25</v>
      </c>
      <c r="J76" s="170">
        <v>0.0017122496898812688</v>
      </c>
      <c r="K76" s="170">
        <v>0.2253056860703936</v>
      </c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ht="14.25" customHeight="1">
      <c r="A77" s="147"/>
      <c r="B77" s="67">
        <v>72.0</v>
      </c>
      <c r="C77" s="167"/>
      <c r="D77" s="168" t="s">
        <v>134</v>
      </c>
      <c r="E77" s="169" t="s">
        <v>135</v>
      </c>
      <c r="F77" s="170">
        <v>0.9999430210702461</v>
      </c>
      <c r="G77" s="171">
        <v>3.0</v>
      </c>
      <c r="H77" s="170">
        <v>0.5</v>
      </c>
      <c r="I77" s="170">
        <v>0.0</v>
      </c>
      <c r="J77" s="170">
        <v>0.0</v>
      </c>
      <c r="K77" s="170">
        <v>0.3529001036697334</v>
      </c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ht="14.25" customHeight="1">
      <c r="A78" s="147"/>
      <c r="B78" s="67">
        <v>73.0</v>
      </c>
      <c r="C78" s="167"/>
      <c r="D78" s="168" t="s">
        <v>234</v>
      </c>
      <c r="E78" s="169" t="s">
        <v>235</v>
      </c>
      <c r="F78" s="170">
        <v>0.8947627083333334</v>
      </c>
      <c r="G78" s="171">
        <v>3.0</v>
      </c>
      <c r="H78" s="170">
        <v>0.5</v>
      </c>
      <c r="I78" s="170">
        <v>0.3333333333333333</v>
      </c>
      <c r="J78" s="170">
        <v>0.0</v>
      </c>
      <c r="K78" s="170">
        <v>0.23919029847463633</v>
      </c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ht="14.25" customHeight="1">
      <c r="A79" s="147"/>
      <c r="B79" s="67">
        <v>74.0</v>
      </c>
      <c r="C79" s="167"/>
      <c r="D79" s="168" t="s">
        <v>40</v>
      </c>
      <c r="E79" s="169" t="s">
        <v>41</v>
      </c>
      <c r="F79" s="170">
        <v>0.899</v>
      </c>
      <c r="G79" s="171">
        <v>3.0</v>
      </c>
      <c r="H79" s="170">
        <v>0.5</v>
      </c>
      <c r="I79" s="170">
        <v>0.0</v>
      </c>
      <c r="J79" s="170">
        <v>0.006728865831500431</v>
      </c>
      <c r="K79" s="170">
        <v>0.2239238014836719</v>
      </c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ht="14.25" customHeight="1">
      <c r="A80" s="147"/>
      <c r="B80" s="67">
        <v>75.0</v>
      </c>
      <c r="C80" s="167"/>
      <c r="D80" s="168" t="s">
        <v>38</v>
      </c>
      <c r="E80" s="169" t="s">
        <v>39</v>
      </c>
      <c r="F80" s="170">
        <v>0.5071979290698662</v>
      </c>
      <c r="G80" s="171">
        <v>3.0</v>
      </c>
      <c r="H80" s="170">
        <v>0.3333333333333333</v>
      </c>
      <c r="I80" s="170">
        <v>0.0</v>
      </c>
      <c r="J80" s="170">
        <v>0.17119292455435933</v>
      </c>
      <c r="K80" s="170">
        <v>0.2318588502949919</v>
      </c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ht="14.25" customHeight="1">
      <c r="A81" s="147"/>
      <c r="B81" s="67">
        <v>76.0</v>
      </c>
      <c r="C81" s="167"/>
      <c r="D81" s="168" t="s">
        <v>140</v>
      </c>
      <c r="E81" s="169" t="s">
        <v>141</v>
      </c>
      <c r="F81" s="170">
        <v>0.6488905833333334</v>
      </c>
      <c r="G81" s="171">
        <v>3.0</v>
      </c>
      <c r="H81" s="170">
        <v>0.3333333333333333</v>
      </c>
      <c r="I81" s="170">
        <v>0.0</v>
      </c>
      <c r="J81" s="170">
        <v>0.2667435166666667</v>
      </c>
      <c r="K81" s="170">
        <v>0.8023361776157734</v>
      </c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ht="14.25" customHeight="1">
      <c r="A82" s="147"/>
      <c r="B82" s="67">
        <v>77.0</v>
      </c>
      <c r="C82" s="167"/>
      <c r="D82" s="168" t="s">
        <v>42</v>
      </c>
      <c r="E82" s="169" t="s">
        <v>43</v>
      </c>
      <c r="F82" s="170">
        <v>0.9535855591419256</v>
      </c>
      <c r="G82" s="171">
        <v>3.0</v>
      </c>
      <c r="H82" s="170">
        <v>0.5</v>
      </c>
      <c r="I82" s="170">
        <v>0.14285714285714285</v>
      </c>
      <c r="J82" s="170">
        <v>0.0</v>
      </c>
      <c r="K82" s="170">
        <v>0.21475669254432045</v>
      </c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ht="14.25" customHeight="1">
      <c r="A83" s="147"/>
      <c r="B83" s="67">
        <v>78.0</v>
      </c>
      <c r="C83" s="167"/>
      <c r="D83" s="168" t="s">
        <v>44</v>
      </c>
      <c r="E83" s="169" t="s">
        <v>45</v>
      </c>
      <c r="F83" s="170">
        <v>0.8053294538080733</v>
      </c>
      <c r="G83" s="171">
        <v>3.0</v>
      </c>
      <c r="H83" s="170">
        <v>0.5</v>
      </c>
      <c r="I83" s="170">
        <v>0.0</v>
      </c>
      <c r="J83" s="170">
        <v>0.0</v>
      </c>
      <c r="K83" s="170">
        <v>0.26034512240739005</v>
      </c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ht="14.25" customHeight="1">
      <c r="A84" s="147"/>
      <c r="B84" s="67">
        <v>79.0</v>
      </c>
      <c r="C84" s="167"/>
      <c r="D84" s="168" t="s">
        <v>46</v>
      </c>
      <c r="E84" s="169" t="s">
        <v>47</v>
      </c>
      <c r="F84" s="170">
        <v>0.945399999988611</v>
      </c>
      <c r="G84" s="171">
        <v>3.0</v>
      </c>
      <c r="H84" s="170">
        <v>0.375</v>
      </c>
      <c r="I84" s="170">
        <v>0.10526315789473684</v>
      </c>
      <c r="J84" s="170">
        <v>1.571700417969446E-4</v>
      </c>
      <c r="K84" s="170">
        <v>0.2639481039979548</v>
      </c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ht="14.25" customHeight="1">
      <c r="A85" s="147"/>
      <c r="B85" s="67">
        <v>80.0</v>
      </c>
      <c r="C85" s="167"/>
      <c r="D85" s="168" t="s">
        <v>150</v>
      </c>
      <c r="E85" s="169" t="s">
        <v>151</v>
      </c>
      <c r="F85" s="170">
        <v>0.07015902712815715</v>
      </c>
      <c r="G85" s="171">
        <v>3.0</v>
      </c>
      <c r="H85" s="170">
        <v>0.5</v>
      </c>
      <c r="I85" s="170">
        <v>0.25</v>
      </c>
      <c r="J85" s="170">
        <v>0.6488945701165065</v>
      </c>
      <c r="K85" s="170">
        <v>0.25552043953943526</v>
      </c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14.25" customHeight="1">
      <c r="A86" s="147"/>
      <c r="B86" s="67">
        <v>81.0</v>
      </c>
      <c r="C86" s="167"/>
      <c r="D86" s="168" t="s">
        <v>48</v>
      </c>
      <c r="E86" s="169" t="s">
        <v>49</v>
      </c>
      <c r="F86" s="170">
        <v>0.8971093441760294</v>
      </c>
      <c r="G86" s="171">
        <v>3.0</v>
      </c>
      <c r="H86" s="170">
        <v>0.5</v>
      </c>
      <c r="I86" s="170">
        <v>0.0</v>
      </c>
      <c r="J86" s="170">
        <v>2.3462945939794685E-4</v>
      </c>
      <c r="K86" s="170">
        <v>0.25000455901626734</v>
      </c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14.25" customHeight="1">
      <c r="A87" s="147"/>
      <c r="B87" s="67">
        <v>82.0</v>
      </c>
      <c r="C87" s="167"/>
      <c r="D87" s="168" t="s">
        <v>178</v>
      </c>
      <c r="E87" s="169" t="s">
        <v>179</v>
      </c>
      <c r="F87" s="170">
        <v>0.9060962</v>
      </c>
      <c r="G87" s="171">
        <v>3.0</v>
      </c>
      <c r="H87" s="170">
        <v>0.3333333333333333</v>
      </c>
      <c r="I87" s="170">
        <v>0.0</v>
      </c>
      <c r="J87" s="170">
        <v>0.0032039333333333335</v>
      </c>
      <c r="K87" s="170">
        <v>0.21983013181090055</v>
      </c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ht="14.25" customHeight="1">
      <c r="A88" s="147"/>
      <c r="B88" s="67">
        <v>83.0</v>
      </c>
      <c r="C88" s="167"/>
      <c r="D88" s="168" t="s">
        <v>162</v>
      </c>
      <c r="E88" s="169" t="s">
        <v>163</v>
      </c>
      <c r="F88" s="170">
        <v>0.76190476375</v>
      </c>
      <c r="G88" s="171">
        <v>3.0</v>
      </c>
      <c r="H88" s="170">
        <v>0.5</v>
      </c>
      <c r="I88" s="170">
        <v>0.25</v>
      </c>
      <c r="J88" s="170">
        <v>0.02803175875</v>
      </c>
      <c r="K88" s="170">
        <v>0.21211369103980385</v>
      </c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ht="14.25" customHeight="1">
      <c r="A89" s="147"/>
      <c r="B89" s="67">
        <v>84.0</v>
      </c>
      <c r="C89" s="167"/>
      <c r="D89" s="168" t="s">
        <v>68</v>
      </c>
      <c r="E89" s="169" t="s">
        <v>69</v>
      </c>
      <c r="F89" s="170">
        <v>0.5961901457055573</v>
      </c>
      <c r="G89" s="171">
        <v>3.0</v>
      </c>
      <c r="H89" s="170">
        <v>0.4</v>
      </c>
      <c r="I89" s="170">
        <v>0.1111111111111111</v>
      </c>
      <c r="J89" s="170">
        <v>3.108520823394116E-5</v>
      </c>
      <c r="K89" s="170">
        <v>0.16540344471191298</v>
      </c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ht="14.25" customHeight="1">
      <c r="A90" s="147"/>
      <c r="B90" s="67">
        <v>85.0</v>
      </c>
      <c r="C90" s="167"/>
      <c r="D90" s="168" t="s">
        <v>52</v>
      </c>
      <c r="E90" s="169" t="s">
        <v>53</v>
      </c>
      <c r="F90" s="170">
        <v>0.572704921049693</v>
      </c>
      <c r="G90" s="171">
        <v>3.0</v>
      </c>
      <c r="H90" s="170">
        <v>0.6</v>
      </c>
      <c r="I90" s="170">
        <v>0.0</v>
      </c>
      <c r="J90" s="170">
        <v>0.0033923394751535457</v>
      </c>
      <c r="K90" s="170">
        <v>0.43298713208750866</v>
      </c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ht="14.25" customHeight="1">
      <c r="A91" s="147"/>
      <c r="B91" s="67">
        <v>86.0</v>
      </c>
      <c r="C91" s="167"/>
      <c r="D91" s="168" t="s">
        <v>58</v>
      </c>
      <c r="E91" s="169" t="s">
        <v>59</v>
      </c>
      <c r="F91" s="170">
        <v>0.9414764413263077</v>
      </c>
      <c r="G91" s="171">
        <v>3.0</v>
      </c>
      <c r="H91" s="170">
        <v>0.6666666666666666</v>
      </c>
      <c r="I91" s="170">
        <v>0.4</v>
      </c>
      <c r="J91" s="170">
        <v>0.006713265169117038</v>
      </c>
      <c r="K91" s="170">
        <v>0.18810265119350883</v>
      </c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ht="14.25" customHeight="1">
      <c r="A92" s="147"/>
      <c r="B92" s="67">
        <v>87.0</v>
      </c>
      <c r="C92" s="167"/>
      <c r="D92" s="168" t="s">
        <v>60</v>
      </c>
      <c r="E92" s="169" t="s">
        <v>61</v>
      </c>
      <c r="F92" s="170">
        <v>0.8931898433792121</v>
      </c>
      <c r="G92" s="171">
        <v>3.0</v>
      </c>
      <c r="H92" s="170">
        <v>0.4</v>
      </c>
      <c r="I92" s="170">
        <v>0.6</v>
      </c>
      <c r="J92" s="170">
        <v>0.0</v>
      </c>
      <c r="K92" s="170">
        <v>0.23699524940617578</v>
      </c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ht="14.25" customHeight="1">
      <c r="A93" s="147"/>
      <c r="B93" s="67">
        <v>88.0</v>
      </c>
      <c r="C93" s="167"/>
      <c r="D93" s="168" t="s">
        <v>62</v>
      </c>
      <c r="E93" s="169" t="s">
        <v>63</v>
      </c>
      <c r="F93" s="170">
        <v>0.5856202741604056</v>
      </c>
      <c r="G93" s="171">
        <v>3.0</v>
      </c>
      <c r="H93" s="170">
        <v>0.4</v>
      </c>
      <c r="I93" s="170">
        <v>0.0</v>
      </c>
      <c r="J93" s="170">
        <v>4.511399978552719E-4</v>
      </c>
      <c r="K93" s="170">
        <v>0.6529992019154031</v>
      </c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ht="14.25" customHeight="1">
      <c r="A94" s="147"/>
      <c r="B94" s="67">
        <v>89.0</v>
      </c>
      <c r="C94" s="167"/>
      <c r="D94" s="168" t="s">
        <v>54</v>
      </c>
      <c r="E94" s="169" t="s">
        <v>55</v>
      </c>
      <c r="F94" s="170">
        <v>0.5907083858831151</v>
      </c>
      <c r="G94" s="171">
        <v>3.0</v>
      </c>
      <c r="H94" s="170">
        <v>0.4</v>
      </c>
      <c r="I94" s="170">
        <v>0.0</v>
      </c>
      <c r="J94" s="170">
        <v>0.2525240988717648</v>
      </c>
      <c r="K94" s="170">
        <v>0.2073528735891577</v>
      </c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ht="14.25" customHeight="1">
      <c r="A95" s="147"/>
      <c r="B95" s="67">
        <v>90.0</v>
      </c>
      <c r="C95" s="167"/>
      <c r="D95" s="168" t="s">
        <v>190</v>
      </c>
      <c r="E95" s="169" t="s">
        <v>191</v>
      </c>
      <c r="F95" s="170">
        <v>0.9292897058908635</v>
      </c>
      <c r="G95" s="171">
        <v>3.0</v>
      </c>
      <c r="H95" s="170">
        <v>0.5</v>
      </c>
      <c r="I95" s="170">
        <v>0.0</v>
      </c>
      <c r="J95" s="170">
        <v>2.7536451943803564E-6</v>
      </c>
      <c r="K95" s="170">
        <v>0.22483993518849085</v>
      </c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ht="14.25" customHeight="1">
      <c r="A96" s="147"/>
      <c r="B96" s="67">
        <v>91.0</v>
      </c>
      <c r="C96" s="167"/>
      <c r="D96" s="168" t="s">
        <v>64</v>
      </c>
      <c r="E96" s="169" t="s">
        <v>65</v>
      </c>
      <c r="F96" s="170">
        <v>0.8827639946949603</v>
      </c>
      <c r="G96" s="171">
        <v>3.0</v>
      </c>
      <c r="H96" s="170">
        <v>0.5</v>
      </c>
      <c r="I96" s="170">
        <v>0.42857142857142855</v>
      </c>
      <c r="J96" s="170">
        <v>0.08488063660477453</v>
      </c>
      <c r="K96" s="170">
        <v>0.167342434448286</v>
      </c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ht="14.25" customHeight="1">
      <c r="A97" s="147"/>
      <c r="B97" s="67">
        <v>92.0</v>
      </c>
      <c r="C97" s="167"/>
      <c r="D97" s="168" t="s">
        <v>184</v>
      </c>
      <c r="E97" s="169" t="s">
        <v>185</v>
      </c>
      <c r="F97" s="170">
        <v>0.992052568768794</v>
      </c>
      <c r="G97" s="171">
        <v>3.0</v>
      </c>
      <c r="H97" s="170">
        <v>0.3333333333333333</v>
      </c>
      <c r="I97" s="170">
        <v>0.6</v>
      </c>
      <c r="J97" s="170">
        <v>0.0</v>
      </c>
      <c r="K97" s="170">
        <v>0.2212437502975395</v>
      </c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ht="14.25" customHeight="1">
      <c r="A98" s="147"/>
      <c r="B98" s="67">
        <v>93.0</v>
      </c>
      <c r="C98" s="167"/>
      <c r="D98" s="168" t="s">
        <v>176</v>
      </c>
      <c r="E98" s="169" t="s">
        <v>177</v>
      </c>
      <c r="F98" s="170">
        <v>0.8969389199372056</v>
      </c>
      <c r="G98" s="171">
        <v>4.0</v>
      </c>
      <c r="H98" s="170">
        <v>0.6</v>
      </c>
      <c r="I98" s="170">
        <v>0.0</v>
      </c>
      <c r="J98" s="170">
        <v>0.0</v>
      </c>
      <c r="K98" s="170">
        <v>0.3102445366124553</v>
      </c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ht="14.25" customHeight="1">
      <c r="A99" s="147"/>
      <c r="B99" s="67">
        <v>94.0</v>
      </c>
      <c r="C99" s="167"/>
      <c r="D99" s="168" t="s">
        <v>72</v>
      </c>
      <c r="E99" s="169" t="s">
        <v>73</v>
      </c>
      <c r="F99" s="170">
        <v>0.945799072044658</v>
      </c>
      <c r="G99" s="171">
        <v>3.0</v>
      </c>
      <c r="H99" s="170">
        <v>0.6666666666666666</v>
      </c>
      <c r="I99" s="170">
        <v>0.0</v>
      </c>
      <c r="J99" s="170">
        <v>0.0</v>
      </c>
      <c r="K99" s="170">
        <v>0.40779787855784927</v>
      </c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ht="14.25" customHeight="1">
      <c r="A100" s="147"/>
      <c r="B100" s="67">
        <v>95.0</v>
      </c>
      <c r="C100" s="167"/>
      <c r="D100" s="168" t="s">
        <v>70</v>
      </c>
      <c r="E100" s="169" t="s">
        <v>71</v>
      </c>
      <c r="F100" s="170">
        <v>0.8743</v>
      </c>
      <c r="G100" s="171">
        <v>3.0</v>
      </c>
      <c r="H100" s="170">
        <v>0.3333333333333333</v>
      </c>
      <c r="I100" s="170">
        <v>0.1111111111111111</v>
      </c>
      <c r="J100" s="170">
        <v>5.93498226924047E-5</v>
      </c>
      <c r="K100" s="170">
        <v>0.37703511957136204</v>
      </c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ht="14.25" customHeight="1">
      <c r="A101" s="147"/>
      <c r="B101" s="67">
        <v>96.0</v>
      </c>
      <c r="C101" s="167"/>
      <c r="D101" s="168" t="s">
        <v>202</v>
      </c>
      <c r="E101" s="169" t="s">
        <v>203</v>
      </c>
      <c r="F101" s="170">
        <v>0.9819441888813527</v>
      </c>
      <c r="G101" s="171">
        <v>3.0</v>
      </c>
      <c r="H101" s="170">
        <v>0.3333333333333333</v>
      </c>
      <c r="I101" s="170">
        <v>0.2</v>
      </c>
      <c r="J101" s="170">
        <v>0.005407951321806091</v>
      </c>
      <c r="K101" s="170">
        <v>0.22000000000064154</v>
      </c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ht="14.25" customHeight="1">
      <c r="A102" s="147"/>
      <c r="B102" s="67">
        <v>97.0</v>
      </c>
      <c r="C102" s="167"/>
      <c r="D102" s="168" t="s">
        <v>206</v>
      </c>
      <c r="E102" s="169" t="s">
        <v>207</v>
      </c>
      <c r="F102" s="170">
        <v>0.9239968319737425</v>
      </c>
      <c r="G102" s="171">
        <v>3.0</v>
      </c>
      <c r="H102" s="170">
        <v>0.42857142857142855</v>
      </c>
      <c r="I102" s="170">
        <v>0.0</v>
      </c>
      <c r="J102" s="170">
        <v>0.0</v>
      </c>
      <c r="K102" s="170">
        <v>0.17225936660756833</v>
      </c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ht="14.25" customHeight="1">
      <c r="A103" s="147"/>
      <c r="B103" s="67">
        <v>98.0</v>
      </c>
      <c r="C103" s="167"/>
      <c r="D103" s="168" t="s">
        <v>76</v>
      </c>
      <c r="E103" s="169" t="s">
        <v>77</v>
      </c>
      <c r="F103" s="170">
        <v>0.7085371548556431</v>
      </c>
      <c r="G103" s="171">
        <v>3.0</v>
      </c>
      <c r="H103" s="170">
        <v>0.3333333333333333</v>
      </c>
      <c r="I103" s="170">
        <v>0.0</v>
      </c>
      <c r="J103" s="170">
        <v>1.5748031496062993E-5</v>
      </c>
      <c r="K103" s="170">
        <v>0.37693583379143225</v>
      </c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ht="14.25" customHeight="1">
      <c r="A104" s="147"/>
      <c r="B104" s="67">
        <v>99.0</v>
      </c>
      <c r="C104" s="167"/>
      <c r="D104" s="168" t="s">
        <v>204</v>
      </c>
      <c r="E104" s="169" t="s">
        <v>205</v>
      </c>
      <c r="F104" s="170">
        <v>0.6353743511450382</v>
      </c>
      <c r="G104" s="171">
        <v>3.0</v>
      </c>
      <c r="H104" s="170">
        <v>0.5</v>
      </c>
      <c r="I104" s="170">
        <v>0.0</v>
      </c>
      <c r="J104" s="170">
        <v>0.03187083969465649</v>
      </c>
      <c r="K104" s="170">
        <v>0.1676397245172241</v>
      </c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ht="14.25" customHeight="1">
      <c r="A105" s="147"/>
      <c r="B105" s="67">
        <v>100.0</v>
      </c>
      <c r="C105" s="167"/>
      <c r="D105" s="168" t="s">
        <v>82</v>
      </c>
      <c r="E105" s="169" t="s">
        <v>83</v>
      </c>
      <c r="F105" s="170">
        <v>0.8670394266930076</v>
      </c>
      <c r="G105" s="171">
        <v>3.0</v>
      </c>
      <c r="H105" s="170">
        <v>0.375</v>
      </c>
      <c r="I105" s="170">
        <v>0.2</v>
      </c>
      <c r="J105" s="170">
        <v>0.007229775132048594</v>
      </c>
      <c r="K105" s="170">
        <v>0.14416582779437206</v>
      </c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ht="14.25" customHeight="1">
      <c r="A106" s="147"/>
      <c r="B106" s="67">
        <v>101.0</v>
      </c>
      <c r="C106" s="167"/>
      <c r="D106" s="168" t="s">
        <v>84</v>
      </c>
      <c r="E106" s="169" t="s">
        <v>85</v>
      </c>
      <c r="F106" s="170">
        <v>0.6379350039720659</v>
      </c>
      <c r="G106" s="171">
        <v>3.0</v>
      </c>
      <c r="H106" s="170">
        <v>0.3333333333333333</v>
      </c>
      <c r="I106" s="170">
        <v>0.0</v>
      </c>
      <c r="J106" s="170">
        <v>0.0</v>
      </c>
      <c r="K106" s="170">
        <v>0.22097081844012964</v>
      </c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ht="14.25" customHeight="1">
      <c r="A107" s="147"/>
      <c r="B107" s="67">
        <v>102.0</v>
      </c>
      <c r="C107" s="167"/>
      <c r="D107" s="168" t="s">
        <v>212</v>
      </c>
      <c r="E107" s="169" t="s">
        <v>213</v>
      </c>
      <c r="F107" s="170">
        <v>0.067756640496988</v>
      </c>
      <c r="G107" s="171">
        <v>3.0</v>
      </c>
      <c r="H107" s="170">
        <v>0.4</v>
      </c>
      <c r="I107" s="170">
        <v>0.3333333333333333</v>
      </c>
      <c r="J107" s="170">
        <v>0.002897409914231767</v>
      </c>
      <c r="K107" s="170">
        <v>0.24921236053547569</v>
      </c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ht="14.25" customHeight="1">
      <c r="A108" s="147"/>
      <c r="B108" s="67">
        <v>103.0</v>
      </c>
      <c r="C108" s="167"/>
      <c r="D108" s="168" t="s">
        <v>88</v>
      </c>
      <c r="E108" s="169" t="s">
        <v>89</v>
      </c>
      <c r="F108" s="170">
        <v>0.803190142993543</v>
      </c>
      <c r="G108" s="171">
        <v>3.0</v>
      </c>
      <c r="H108" s="170">
        <v>0.4</v>
      </c>
      <c r="I108" s="170">
        <v>0.25</v>
      </c>
      <c r="J108" s="170">
        <v>2.4058284755446214E-6</v>
      </c>
      <c r="K108" s="170">
        <v>0.24325905801833808</v>
      </c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ht="14.25" customHeight="1">
      <c r="A109" s="147"/>
      <c r="B109" s="67">
        <v>104.0</v>
      </c>
      <c r="C109" s="167"/>
      <c r="D109" s="168" t="s">
        <v>86</v>
      </c>
      <c r="E109" s="169" t="s">
        <v>87</v>
      </c>
      <c r="F109" s="170">
        <v>0.782703528596056</v>
      </c>
      <c r="G109" s="171">
        <v>2.0</v>
      </c>
      <c r="H109" s="170">
        <v>0.3333333333333333</v>
      </c>
      <c r="I109" s="170">
        <v>0.0</v>
      </c>
      <c r="J109" s="170">
        <v>0.3910670941570594</v>
      </c>
      <c r="K109" s="170">
        <v>0.21304796372285267</v>
      </c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ht="14.25" customHeight="1">
      <c r="A110" s="147"/>
      <c r="B110" s="67">
        <v>105.0</v>
      </c>
      <c r="C110" s="167"/>
      <c r="D110" s="168" t="s">
        <v>226</v>
      </c>
      <c r="E110" s="169" t="s">
        <v>227</v>
      </c>
      <c r="F110" s="170">
        <v>0.407365271254638</v>
      </c>
      <c r="G110" s="171">
        <v>3.0</v>
      </c>
      <c r="H110" s="170">
        <v>0.3333333333333333</v>
      </c>
      <c r="I110" s="170">
        <v>0.0</v>
      </c>
      <c r="J110" s="170">
        <v>0.0</v>
      </c>
      <c r="K110" s="170">
        <v>0.7248592031159534</v>
      </c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ht="14.25" customHeight="1">
      <c r="A111" s="147"/>
      <c r="B111" s="67">
        <v>106.0</v>
      </c>
      <c r="C111" s="167"/>
      <c r="D111" s="168" t="s">
        <v>90</v>
      </c>
      <c r="E111" s="169" t="s">
        <v>91</v>
      </c>
      <c r="F111" s="170">
        <v>0.9699966563302752</v>
      </c>
      <c r="G111" s="171">
        <v>3.0</v>
      </c>
      <c r="H111" s="170">
        <v>0.8333333333333334</v>
      </c>
      <c r="I111" s="170">
        <v>0.45454545454545453</v>
      </c>
      <c r="J111" s="170">
        <v>0.0</v>
      </c>
      <c r="K111" s="170">
        <v>0.2258890696943957</v>
      </c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ht="14.25" customHeight="1">
      <c r="A112" s="147"/>
      <c r="B112" s="67">
        <v>107.0</v>
      </c>
      <c r="C112" s="167"/>
      <c r="D112" s="168" t="s">
        <v>92</v>
      </c>
      <c r="E112" s="169" t="s">
        <v>93</v>
      </c>
      <c r="F112" s="170">
        <v>0.8494856887298747</v>
      </c>
      <c r="G112" s="171">
        <v>3.0</v>
      </c>
      <c r="H112" s="170">
        <v>0.4</v>
      </c>
      <c r="I112" s="170">
        <v>0.2</v>
      </c>
      <c r="J112" s="170">
        <v>2.4381335718545022E-4</v>
      </c>
      <c r="K112" s="170">
        <v>0.24305391463147372</v>
      </c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ht="14.25" customHeight="1">
      <c r="A113" s="147"/>
      <c r="B113" s="67">
        <v>108.0</v>
      </c>
      <c r="C113" s="167"/>
      <c r="D113" s="168" t="s">
        <v>94</v>
      </c>
      <c r="E113" s="169" t="s">
        <v>95</v>
      </c>
      <c r="F113" s="170">
        <v>0.6429371816141938</v>
      </c>
      <c r="G113" s="171">
        <v>3.0</v>
      </c>
      <c r="H113" s="170">
        <v>0.5</v>
      </c>
      <c r="I113" s="170">
        <v>0.0</v>
      </c>
      <c r="J113" s="170">
        <v>0.6314601107258943</v>
      </c>
      <c r="K113" s="170">
        <v>0.2206974265236464</v>
      </c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ht="14.25" customHeight="1">
      <c r="A114" s="147"/>
      <c r="B114" s="67">
        <v>109.0</v>
      </c>
      <c r="C114" s="172">
        <v>2024.0</v>
      </c>
      <c r="D114" s="168" t="s">
        <v>15</v>
      </c>
      <c r="E114" s="169" t="s">
        <v>16</v>
      </c>
      <c r="F114" s="170">
        <v>0.7968471641377171</v>
      </c>
      <c r="G114" s="171">
        <v>3.0</v>
      </c>
      <c r="H114" s="170">
        <v>0.5</v>
      </c>
      <c r="I114" s="170">
        <v>0.14285714285714285</v>
      </c>
      <c r="J114" s="170">
        <v>0.0</v>
      </c>
      <c r="K114" s="170">
        <v>0.3048072552263216</v>
      </c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ht="14.25" customHeight="1">
      <c r="A115" s="147"/>
      <c r="B115" s="67">
        <v>110.0</v>
      </c>
      <c r="C115" s="172"/>
      <c r="D115" s="168" t="s">
        <v>98</v>
      </c>
      <c r="E115" s="169" t="s">
        <v>99</v>
      </c>
      <c r="F115" s="170">
        <v>0.913544052112166</v>
      </c>
      <c r="G115" s="171">
        <v>3.0</v>
      </c>
      <c r="H115" s="170">
        <v>0.3333333333333333</v>
      </c>
      <c r="I115" s="170">
        <v>0.3333333333333333</v>
      </c>
      <c r="J115" s="170">
        <v>2.017302009436227E-5</v>
      </c>
      <c r="K115" s="170">
        <v>0.21020535307789998</v>
      </c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ht="14.25" customHeight="1">
      <c r="A116" s="147"/>
      <c r="B116" s="67">
        <v>111.0</v>
      </c>
      <c r="C116" s="172"/>
      <c r="D116" s="168" t="s">
        <v>78</v>
      </c>
      <c r="E116" s="169" t="s">
        <v>79</v>
      </c>
      <c r="F116" s="170">
        <v>0.5318543306204202</v>
      </c>
      <c r="G116" s="171">
        <v>3.0</v>
      </c>
      <c r="H116" s="170">
        <v>0.5</v>
      </c>
      <c r="I116" s="170">
        <v>0.0</v>
      </c>
      <c r="J116" s="170">
        <v>0.013513823815494456</v>
      </c>
      <c r="K116" s="170">
        <v>0.19742409684498596</v>
      </c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ht="14.25" customHeight="1">
      <c r="A117" s="147"/>
      <c r="B117" s="67">
        <v>112.0</v>
      </c>
      <c r="C117" s="172"/>
      <c r="D117" s="168" t="s">
        <v>104</v>
      </c>
      <c r="E117" s="169" t="s">
        <v>105</v>
      </c>
      <c r="F117" s="170">
        <v>0.8169222011373884</v>
      </c>
      <c r="G117" s="171">
        <v>3.0</v>
      </c>
      <c r="H117" s="170">
        <v>0.2857142857142857</v>
      </c>
      <c r="I117" s="170">
        <v>0.16666666666666666</v>
      </c>
      <c r="J117" s="170">
        <v>0.09867992188839282</v>
      </c>
      <c r="K117" s="170">
        <v>0.3765919101477513</v>
      </c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ht="14.25" customHeight="1">
      <c r="A118" s="147"/>
      <c r="B118" s="67">
        <v>113.0</v>
      </c>
      <c r="C118" s="172"/>
      <c r="D118" s="168" t="s">
        <v>18</v>
      </c>
      <c r="E118" s="169" t="s">
        <v>19</v>
      </c>
      <c r="F118" s="170">
        <v>0.6537283666666667</v>
      </c>
      <c r="G118" s="171">
        <v>3.0</v>
      </c>
      <c r="H118" s="170">
        <v>0.5</v>
      </c>
      <c r="I118" s="170">
        <v>0.0</v>
      </c>
      <c r="J118" s="170">
        <v>0.0010196333333333334</v>
      </c>
      <c r="K118" s="170">
        <v>0.2397650863903311</v>
      </c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ht="14.25" customHeight="1">
      <c r="A119" s="147"/>
      <c r="B119" s="67">
        <v>114.0</v>
      </c>
      <c r="C119" s="172"/>
      <c r="D119" s="168" t="s">
        <v>108</v>
      </c>
      <c r="E119" s="169" t="s">
        <v>109</v>
      </c>
      <c r="F119" s="170">
        <v>0.009251384876805437</v>
      </c>
      <c r="G119" s="171">
        <v>3.0</v>
      </c>
      <c r="H119" s="170">
        <v>0.5</v>
      </c>
      <c r="I119" s="170">
        <v>0.0</v>
      </c>
      <c r="J119" s="170">
        <v>0.015204910790144435</v>
      </c>
      <c r="K119" s="170">
        <v>0.21999999999628408</v>
      </c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ht="14.25" customHeight="1">
      <c r="A120" s="147"/>
      <c r="B120" s="67">
        <v>115.0</v>
      </c>
      <c r="C120" s="172"/>
      <c r="D120" s="168" t="s">
        <v>222</v>
      </c>
      <c r="E120" s="169" t="s">
        <v>223</v>
      </c>
      <c r="F120" s="170">
        <v>0.8702033613445378</v>
      </c>
      <c r="G120" s="171">
        <v>3.0</v>
      </c>
      <c r="H120" s="170">
        <v>0.5</v>
      </c>
      <c r="I120" s="170">
        <v>0.3333333333333333</v>
      </c>
      <c r="J120" s="170">
        <v>0.0</v>
      </c>
      <c r="K120" s="170">
        <v>0.21273518039409076</v>
      </c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ht="14.25" customHeight="1">
      <c r="A121" s="147"/>
      <c r="B121" s="67">
        <v>116.0</v>
      </c>
      <c r="C121" s="172"/>
      <c r="D121" s="168" t="s">
        <v>74</v>
      </c>
      <c r="E121" s="169" t="s">
        <v>75</v>
      </c>
      <c r="F121" s="170">
        <v>0.7688</v>
      </c>
      <c r="G121" s="171">
        <v>3.0</v>
      </c>
      <c r="H121" s="170">
        <v>0.3333333333333333</v>
      </c>
      <c r="I121" s="170">
        <v>0.2</v>
      </c>
      <c r="J121" s="170">
        <v>0.010477569391459904</v>
      </c>
      <c r="K121" s="170">
        <v>0.21628905877173715</v>
      </c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ht="14.25" customHeight="1">
      <c r="A122" s="147"/>
      <c r="B122" s="67">
        <v>117.0</v>
      </c>
      <c r="C122" s="172"/>
      <c r="D122" s="168" t="s">
        <v>28</v>
      </c>
      <c r="E122" s="169" t="s">
        <v>29</v>
      </c>
      <c r="F122" s="170">
        <v>0.009251384876805437</v>
      </c>
      <c r="G122" s="171">
        <v>4.0</v>
      </c>
      <c r="H122" s="170">
        <v>0.3333333333333333</v>
      </c>
      <c r="I122" s="170">
        <v>0.0</v>
      </c>
      <c r="J122" s="170">
        <v>0.7508106120937661</v>
      </c>
      <c r="K122" s="170">
        <v>0.20231447843124079</v>
      </c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ht="14.25" customHeight="1">
      <c r="A123" s="147"/>
      <c r="B123" s="67">
        <v>118.0</v>
      </c>
      <c r="C123" s="172"/>
      <c r="D123" s="168" t="s">
        <v>24</v>
      </c>
      <c r="E123" s="169" t="s">
        <v>25</v>
      </c>
      <c r="F123" s="170">
        <v>0.9901454492621051</v>
      </c>
      <c r="G123" s="171">
        <v>3.0</v>
      </c>
      <c r="H123" s="170">
        <v>0.5</v>
      </c>
      <c r="I123" s="170">
        <v>0.16666666666666666</v>
      </c>
      <c r="J123" s="170">
        <v>0.0</v>
      </c>
      <c r="K123" s="170">
        <v>0.2938829842891099</v>
      </c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ht="14.25" customHeight="1">
      <c r="A124" s="147"/>
      <c r="B124" s="67">
        <v>119.0</v>
      </c>
      <c r="C124" s="172"/>
      <c r="D124" s="168" t="s">
        <v>110</v>
      </c>
      <c r="E124" s="169" t="s">
        <v>111</v>
      </c>
      <c r="F124" s="170">
        <v>0.9998094721166252</v>
      </c>
      <c r="G124" s="171">
        <v>3.0</v>
      </c>
      <c r="H124" s="170">
        <v>0.5</v>
      </c>
      <c r="I124" s="170">
        <v>0.0</v>
      </c>
      <c r="J124" s="170">
        <v>1.9052788337479195E-4</v>
      </c>
      <c r="K124" s="170">
        <v>0.28693926550211923</v>
      </c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14.25" customHeight="1">
      <c r="A125" s="147"/>
      <c r="B125" s="67">
        <v>120.0</v>
      </c>
      <c r="C125" s="172"/>
      <c r="D125" s="168" t="s">
        <v>26</v>
      </c>
      <c r="E125" s="169" t="s">
        <v>27</v>
      </c>
      <c r="F125" s="170">
        <v>0.8689508907317073</v>
      </c>
      <c r="G125" s="171">
        <v>3.0</v>
      </c>
      <c r="H125" s="170">
        <v>0.3333333333333333</v>
      </c>
      <c r="I125" s="170">
        <v>0.0</v>
      </c>
      <c r="J125" s="170">
        <v>0.0</v>
      </c>
      <c r="K125" s="170">
        <v>0.2583171895021684</v>
      </c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4.25" customHeight="1">
      <c r="A126" s="147"/>
      <c r="B126" s="67">
        <v>121.0</v>
      </c>
      <c r="C126" s="172"/>
      <c r="D126" s="168" t="s">
        <v>30</v>
      </c>
      <c r="E126" s="169" t="s">
        <v>31</v>
      </c>
      <c r="F126" s="170">
        <v>0.6603960200037706</v>
      </c>
      <c r="G126" s="171">
        <v>3.0</v>
      </c>
      <c r="H126" s="170">
        <v>0.4</v>
      </c>
      <c r="I126" s="170">
        <v>0.0</v>
      </c>
      <c r="J126" s="170">
        <v>0.0</v>
      </c>
      <c r="K126" s="170">
        <v>0.2149887331979941</v>
      </c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14.25" customHeight="1">
      <c r="A127" s="147"/>
      <c r="B127" s="67">
        <v>122.0</v>
      </c>
      <c r="C127" s="172"/>
      <c r="D127" s="168" t="s">
        <v>120</v>
      </c>
      <c r="E127" s="169" t="s">
        <v>121</v>
      </c>
      <c r="F127" s="170">
        <v>0.27558938280646095</v>
      </c>
      <c r="G127" s="171">
        <v>3.0</v>
      </c>
      <c r="H127" s="170">
        <v>0.6666666666666666</v>
      </c>
      <c r="I127" s="170">
        <v>0.0</v>
      </c>
      <c r="J127" s="170">
        <v>0.34925683669155344</v>
      </c>
      <c r="K127" s="170">
        <v>0.2187819482985249</v>
      </c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14.25" customHeight="1">
      <c r="A128" s="147"/>
      <c r="B128" s="67">
        <v>123.0</v>
      </c>
      <c r="C128" s="172"/>
      <c r="D128" s="168" t="s">
        <v>118</v>
      </c>
      <c r="E128" s="169" t="s">
        <v>119</v>
      </c>
      <c r="F128" s="170">
        <v>0.6929469874438349</v>
      </c>
      <c r="G128" s="171">
        <v>3.0</v>
      </c>
      <c r="H128" s="170">
        <v>0.4</v>
      </c>
      <c r="I128" s="170">
        <v>0.25</v>
      </c>
      <c r="J128" s="170">
        <v>0.0</v>
      </c>
      <c r="K128" s="170">
        <v>0.21824733666703489</v>
      </c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14.25" customHeight="1">
      <c r="A129" s="147"/>
      <c r="B129" s="67">
        <v>124.0</v>
      </c>
      <c r="C129" s="172"/>
      <c r="D129" s="168" t="s">
        <v>32</v>
      </c>
      <c r="E129" s="169" t="s">
        <v>33</v>
      </c>
      <c r="F129" s="170">
        <v>0.7717414128723272</v>
      </c>
      <c r="G129" s="171">
        <v>3.0</v>
      </c>
      <c r="H129" s="170">
        <v>0.3333333333333333</v>
      </c>
      <c r="I129" s="170">
        <v>0.25</v>
      </c>
      <c r="J129" s="170">
        <v>0.14610453076170266</v>
      </c>
      <c r="K129" s="170">
        <v>0.30404642393732745</v>
      </c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ht="14.25" customHeight="1">
      <c r="A130" s="147"/>
      <c r="B130" s="67">
        <v>125.0</v>
      </c>
      <c r="C130" s="172"/>
      <c r="D130" s="168" t="s">
        <v>126</v>
      </c>
      <c r="E130" s="169" t="s">
        <v>127</v>
      </c>
      <c r="F130" s="170">
        <v>0.9796233788912517</v>
      </c>
      <c r="G130" s="171">
        <v>3.0</v>
      </c>
      <c r="H130" s="170">
        <v>0.4</v>
      </c>
      <c r="I130" s="170">
        <v>0.25</v>
      </c>
      <c r="J130" s="170">
        <v>0.0017122496898812688</v>
      </c>
      <c r="K130" s="170">
        <v>0.2281642966086723</v>
      </c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14.25" customHeight="1">
      <c r="A131" s="147"/>
      <c r="B131" s="67">
        <v>126.0</v>
      </c>
      <c r="C131" s="172"/>
      <c r="D131" s="168" t="s">
        <v>134</v>
      </c>
      <c r="E131" s="169" t="s">
        <v>135</v>
      </c>
      <c r="F131" s="170">
        <v>0.9999600761754287</v>
      </c>
      <c r="G131" s="171">
        <v>3.0</v>
      </c>
      <c r="H131" s="170">
        <v>0.5</v>
      </c>
      <c r="I131" s="170">
        <v>0.0</v>
      </c>
      <c r="J131" s="170">
        <v>0.0</v>
      </c>
      <c r="K131" s="170">
        <v>0.26233438649412</v>
      </c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4.25" customHeight="1">
      <c r="A132" s="147"/>
      <c r="B132" s="67">
        <v>127.0</v>
      </c>
      <c r="C132" s="172"/>
      <c r="D132" s="168" t="s">
        <v>234</v>
      </c>
      <c r="E132" s="169" t="s">
        <v>235</v>
      </c>
      <c r="F132" s="170">
        <v>0.8946377083333333</v>
      </c>
      <c r="G132" s="171">
        <v>3.0</v>
      </c>
      <c r="H132" s="170">
        <v>0.5</v>
      </c>
      <c r="I132" s="170">
        <v>0.3333333333333333</v>
      </c>
      <c r="J132" s="170">
        <v>0.0</v>
      </c>
      <c r="K132" s="170">
        <v>0.34087917820684327</v>
      </c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14.25" customHeight="1">
      <c r="A133" s="147"/>
      <c r="B133" s="67">
        <v>128.0</v>
      </c>
      <c r="C133" s="172"/>
      <c r="D133" s="168" t="s">
        <v>40</v>
      </c>
      <c r="E133" s="169" t="s">
        <v>41</v>
      </c>
      <c r="F133" s="170">
        <v>0.897</v>
      </c>
      <c r="G133" s="171">
        <v>3.0</v>
      </c>
      <c r="H133" s="170">
        <v>0.5</v>
      </c>
      <c r="I133" s="170">
        <v>0.0</v>
      </c>
      <c r="J133" s="170">
        <v>0.006728865831500431</v>
      </c>
      <c r="K133" s="170">
        <v>0.29970283187938485</v>
      </c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ht="14.25" customHeight="1">
      <c r="A134" s="147"/>
      <c r="B134" s="67">
        <v>129.0</v>
      </c>
      <c r="C134" s="172"/>
      <c r="D134" s="168" t="s">
        <v>38</v>
      </c>
      <c r="E134" s="169" t="s">
        <v>39</v>
      </c>
      <c r="F134" s="170">
        <v>0.42233454181683083</v>
      </c>
      <c r="G134" s="171">
        <v>3.0</v>
      </c>
      <c r="H134" s="170">
        <v>0.3333333333333333</v>
      </c>
      <c r="I134" s="170">
        <v>0.0</v>
      </c>
      <c r="J134" s="170">
        <v>0.19727164616332515</v>
      </c>
      <c r="K134" s="170">
        <v>0.1998936554892899</v>
      </c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ht="14.25" customHeight="1">
      <c r="A135" s="147"/>
      <c r="B135" s="67">
        <v>130.0</v>
      </c>
      <c r="C135" s="172"/>
      <c r="D135" s="168" t="s">
        <v>140</v>
      </c>
      <c r="E135" s="169" t="s">
        <v>141</v>
      </c>
      <c r="F135" s="170">
        <v>0.6488905833333334</v>
      </c>
      <c r="G135" s="171">
        <v>3.0</v>
      </c>
      <c r="H135" s="170">
        <v>0.3333333333333333</v>
      </c>
      <c r="I135" s="170">
        <v>0.0</v>
      </c>
      <c r="J135" s="170">
        <v>0.2667435166666667</v>
      </c>
      <c r="K135" s="170">
        <v>0.22923021822627854</v>
      </c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ht="14.25" customHeight="1">
      <c r="A136" s="147"/>
      <c r="B136" s="67">
        <v>131.0</v>
      </c>
      <c r="C136" s="172"/>
      <c r="D136" s="168" t="s">
        <v>42</v>
      </c>
      <c r="E136" s="169" t="s">
        <v>43</v>
      </c>
      <c r="F136" s="170">
        <v>0.9504530037325608</v>
      </c>
      <c r="G136" s="171">
        <v>3.0</v>
      </c>
      <c r="H136" s="170">
        <v>0.5</v>
      </c>
      <c r="I136" s="170">
        <v>0.125</v>
      </c>
      <c r="J136" s="170">
        <v>0.0</v>
      </c>
      <c r="K136" s="170">
        <v>0.23485297590257548</v>
      </c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14.25" customHeight="1">
      <c r="A137" s="147"/>
      <c r="B137" s="67">
        <v>132.0</v>
      </c>
      <c r="C137" s="172"/>
      <c r="D137" s="168" t="s">
        <v>44</v>
      </c>
      <c r="E137" s="169" t="s">
        <v>45</v>
      </c>
      <c r="F137" s="170">
        <v>0.8053294538080733</v>
      </c>
      <c r="G137" s="171">
        <v>3.0</v>
      </c>
      <c r="H137" s="170">
        <v>0.5</v>
      </c>
      <c r="I137" s="170">
        <v>0.0</v>
      </c>
      <c r="J137" s="170">
        <v>0.0</v>
      </c>
      <c r="K137" s="170">
        <v>0.23357520524878955</v>
      </c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ht="14.25" customHeight="1">
      <c r="A138" s="147"/>
      <c r="B138" s="67">
        <v>133.0</v>
      </c>
      <c r="C138" s="172"/>
      <c r="D138" s="168" t="s">
        <v>46</v>
      </c>
      <c r="E138" s="169" t="s">
        <v>47</v>
      </c>
      <c r="F138" s="170">
        <v>0.965200000022778</v>
      </c>
      <c r="G138" s="171">
        <v>3.0</v>
      </c>
      <c r="H138" s="170">
        <v>0.375</v>
      </c>
      <c r="I138" s="170">
        <v>0.10526315789473684</v>
      </c>
      <c r="J138" s="170">
        <v>1.571700417969446E-4</v>
      </c>
      <c r="K138" s="170">
        <v>0.23253149600153336</v>
      </c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ht="14.25" customHeight="1">
      <c r="A139" s="147"/>
      <c r="B139" s="67">
        <v>134.0</v>
      </c>
      <c r="C139" s="172"/>
      <c r="D139" s="168" t="s">
        <v>150</v>
      </c>
      <c r="E139" s="169" t="s">
        <v>151</v>
      </c>
      <c r="F139" s="170">
        <v>0.07015902712815715</v>
      </c>
      <c r="G139" s="171">
        <v>3.0</v>
      </c>
      <c r="H139" s="170">
        <v>0.5</v>
      </c>
      <c r="I139" s="170">
        <v>0.25</v>
      </c>
      <c r="J139" s="170">
        <v>0.6766732927970065</v>
      </c>
      <c r="K139" s="170">
        <v>0.27713527322252823</v>
      </c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ht="14.25" customHeight="1">
      <c r="A140" s="147"/>
      <c r="B140" s="67">
        <v>135.0</v>
      </c>
      <c r="C140" s="172"/>
      <c r="D140" s="168" t="s">
        <v>48</v>
      </c>
      <c r="E140" s="169" t="s">
        <v>49</v>
      </c>
      <c r="F140" s="170">
        <v>0.9320082820146833</v>
      </c>
      <c r="G140" s="171">
        <v>3.0</v>
      </c>
      <c r="H140" s="170">
        <v>0.5</v>
      </c>
      <c r="I140" s="170">
        <v>0.0</v>
      </c>
      <c r="J140" s="170">
        <v>2.1245759800248774E-4</v>
      </c>
      <c r="K140" s="170">
        <v>0.24263604710817377</v>
      </c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ht="14.25" customHeight="1">
      <c r="A141" s="147"/>
      <c r="B141" s="67">
        <v>136.0</v>
      </c>
      <c r="C141" s="172"/>
      <c r="D141" s="168" t="s">
        <v>178</v>
      </c>
      <c r="E141" s="169" t="s">
        <v>179</v>
      </c>
      <c r="F141" s="170">
        <v>0.9063164666666667</v>
      </c>
      <c r="G141" s="171">
        <v>3.0</v>
      </c>
      <c r="H141" s="170">
        <v>0.3333333333333333</v>
      </c>
      <c r="I141" s="170">
        <v>0.0</v>
      </c>
      <c r="J141" s="170">
        <v>0.005294933333333333</v>
      </c>
      <c r="K141" s="170">
        <v>0.21030452379418688</v>
      </c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ht="14.25" customHeight="1">
      <c r="A142" s="147"/>
      <c r="B142" s="67">
        <v>137.0</v>
      </c>
      <c r="C142" s="172"/>
      <c r="D142" s="168" t="s">
        <v>162</v>
      </c>
      <c r="E142" s="169" t="s">
        <v>163</v>
      </c>
      <c r="F142" s="170">
        <v>0.76190476375</v>
      </c>
      <c r="G142" s="171">
        <v>3.0</v>
      </c>
      <c r="H142" s="170">
        <v>0.3333333333333333</v>
      </c>
      <c r="I142" s="170">
        <v>0.2</v>
      </c>
      <c r="J142" s="170">
        <v>0.02803175875</v>
      </c>
      <c r="K142" s="170">
        <v>0.2102816829532586</v>
      </c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ht="14.25" customHeight="1">
      <c r="A143" s="147"/>
      <c r="B143" s="67">
        <v>138.0</v>
      </c>
      <c r="C143" s="172"/>
      <c r="D143" s="168" t="s">
        <v>68</v>
      </c>
      <c r="E143" s="169" t="s">
        <v>69</v>
      </c>
      <c r="F143" s="170">
        <v>0.5961901457055573</v>
      </c>
      <c r="G143" s="171">
        <v>3.0</v>
      </c>
      <c r="H143" s="170">
        <v>0.4</v>
      </c>
      <c r="I143" s="170">
        <v>0.2222222222222222</v>
      </c>
      <c r="J143" s="170">
        <v>3.108520823394116E-5</v>
      </c>
      <c r="K143" s="170">
        <v>0.16773271864969633</v>
      </c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ht="14.25" customHeight="1">
      <c r="A144" s="147"/>
      <c r="B144" s="67">
        <v>139.0</v>
      </c>
      <c r="C144" s="172"/>
      <c r="D144" s="168" t="s">
        <v>52</v>
      </c>
      <c r="E144" s="169" t="s">
        <v>53</v>
      </c>
      <c r="F144" s="170">
        <v>0.572704921049693</v>
      </c>
      <c r="G144" s="171">
        <v>3.0</v>
      </c>
      <c r="H144" s="170">
        <v>0.6</v>
      </c>
      <c r="I144" s="170">
        <v>0.0</v>
      </c>
      <c r="J144" s="170">
        <v>0.0036022780569514236</v>
      </c>
      <c r="K144" s="170">
        <v>0.23537341113667312</v>
      </c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ht="14.25" customHeight="1">
      <c r="A145" s="147"/>
      <c r="B145" s="67">
        <v>140.0</v>
      </c>
      <c r="C145" s="172"/>
      <c r="D145" s="168" t="s">
        <v>58</v>
      </c>
      <c r="E145" s="169" t="s">
        <v>59</v>
      </c>
      <c r="F145" s="170">
        <v>0.9601259036304355</v>
      </c>
      <c r="G145" s="171">
        <v>3.0</v>
      </c>
      <c r="H145" s="170">
        <v>0.6666666666666666</v>
      </c>
      <c r="I145" s="170">
        <v>0.4</v>
      </c>
      <c r="J145" s="170">
        <v>0.006713265169117038</v>
      </c>
      <c r="K145" s="170">
        <v>0.2775405415669743</v>
      </c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ht="14.25" customHeight="1">
      <c r="A146" s="147"/>
      <c r="B146" s="67">
        <v>141.0</v>
      </c>
      <c r="C146" s="172"/>
      <c r="D146" s="168" t="s">
        <v>60</v>
      </c>
      <c r="E146" s="169" t="s">
        <v>61</v>
      </c>
      <c r="F146" s="170">
        <v>0.8931898433792121</v>
      </c>
      <c r="G146" s="171">
        <v>3.0</v>
      </c>
      <c r="H146" s="170">
        <v>0.4</v>
      </c>
      <c r="I146" s="170">
        <v>0.5</v>
      </c>
      <c r="J146" s="170">
        <v>0.0</v>
      </c>
      <c r="K146" s="170">
        <v>0.21111467176454013</v>
      </c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ht="14.25" customHeight="1">
      <c r="A147" s="147"/>
      <c r="B147" s="67">
        <v>142.0</v>
      </c>
      <c r="C147" s="172"/>
      <c r="D147" s="168" t="s">
        <v>62</v>
      </c>
      <c r="E147" s="169" t="s">
        <v>63</v>
      </c>
      <c r="F147" s="170">
        <v>0.5856202741604056</v>
      </c>
      <c r="G147" s="171">
        <v>3.0</v>
      </c>
      <c r="H147" s="170">
        <v>0.3333333333333333</v>
      </c>
      <c r="I147" s="170">
        <v>0.0</v>
      </c>
      <c r="J147" s="170">
        <v>0.003047330517673179</v>
      </c>
      <c r="K147" s="170">
        <v>0.4305956615969822</v>
      </c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ht="14.25" customHeight="1">
      <c r="A148" s="147"/>
      <c r="B148" s="67">
        <v>143.0</v>
      </c>
      <c r="C148" s="172"/>
      <c r="D148" s="168" t="s">
        <v>54</v>
      </c>
      <c r="E148" s="169" t="s">
        <v>55</v>
      </c>
      <c r="F148" s="170">
        <v>0.5907083858831151</v>
      </c>
      <c r="G148" s="171">
        <v>3.0</v>
      </c>
      <c r="H148" s="170">
        <v>0.4</v>
      </c>
      <c r="I148" s="170">
        <v>0.0</v>
      </c>
      <c r="J148" s="170">
        <v>0.25263181980498645</v>
      </c>
      <c r="K148" s="170">
        <v>0.20958696556491668</v>
      </c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ht="14.25" customHeight="1">
      <c r="A149" s="147"/>
      <c r="B149" s="67">
        <v>144.0</v>
      </c>
      <c r="C149" s="172"/>
      <c r="D149" s="168" t="s">
        <v>190</v>
      </c>
      <c r="E149" s="169" t="s">
        <v>191</v>
      </c>
      <c r="F149" s="170">
        <v>0.881402090575309</v>
      </c>
      <c r="G149" s="171">
        <v>3.0</v>
      </c>
      <c r="H149" s="170">
        <v>0.5</v>
      </c>
      <c r="I149" s="170">
        <v>0.0</v>
      </c>
      <c r="J149" s="170">
        <v>2.7536451943803564E-6</v>
      </c>
      <c r="K149" s="170">
        <v>0.2223652192809251</v>
      </c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ht="14.25" customHeight="1">
      <c r="A150" s="147"/>
      <c r="B150" s="67">
        <v>145.0</v>
      </c>
      <c r="C150" s="172"/>
      <c r="D150" s="168" t="s">
        <v>64</v>
      </c>
      <c r="E150" s="169" t="s">
        <v>65</v>
      </c>
      <c r="F150" s="170">
        <v>0.8827796923076923</v>
      </c>
      <c r="G150" s="171">
        <v>3.0</v>
      </c>
      <c r="H150" s="170">
        <v>0.6666666666666666</v>
      </c>
      <c r="I150" s="170">
        <v>0.42857142857142855</v>
      </c>
      <c r="J150" s="170">
        <v>0.08488063660477453</v>
      </c>
      <c r="K150" s="170">
        <v>0.20150141002321187</v>
      </c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ht="14.25" customHeight="1">
      <c r="A151" s="147"/>
      <c r="B151" s="67">
        <v>146.0</v>
      </c>
      <c r="C151" s="172"/>
      <c r="D151" s="168" t="s">
        <v>184</v>
      </c>
      <c r="E151" s="169" t="s">
        <v>185</v>
      </c>
      <c r="F151" s="170">
        <v>0.9863315740914008</v>
      </c>
      <c r="G151" s="171">
        <v>3.0</v>
      </c>
      <c r="H151" s="170">
        <v>0.3333333333333333</v>
      </c>
      <c r="I151" s="170">
        <v>0.6</v>
      </c>
      <c r="J151" s="170">
        <v>0.0</v>
      </c>
      <c r="K151" s="170">
        <v>0.22763713994434323</v>
      </c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ht="14.25" customHeight="1">
      <c r="A152" s="147"/>
      <c r="B152" s="67">
        <v>147.0</v>
      </c>
      <c r="C152" s="172"/>
      <c r="D152" s="168" t="s">
        <v>176</v>
      </c>
      <c r="E152" s="169" t="s">
        <v>177</v>
      </c>
      <c r="F152" s="170">
        <v>0.8837357802197802</v>
      </c>
      <c r="G152" s="171">
        <v>4.0</v>
      </c>
      <c r="H152" s="170">
        <v>0.6</v>
      </c>
      <c r="I152" s="170">
        <v>0.0</v>
      </c>
      <c r="J152" s="170">
        <v>0.0</v>
      </c>
      <c r="K152" s="170">
        <v>0.3894102247481861</v>
      </c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ht="14.25" customHeight="1">
      <c r="A153" s="147"/>
      <c r="B153" s="67">
        <v>148.0</v>
      </c>
      <c r="C153" s="172"/>
      <c r="D153" s="168" t="s">
        <v>72</v>
      </c>
      <c r="E153" s="169" t="s">
        <v>73</v>
      </c>
      <c r="F153" s="170">
        <v>0.9500415699359185</v>
      </c>
      <c r="G153" s="171">
        <v>3.0</v>
      </c>
      <c r="H153" s="170">
        <v>0.6666666666666666</v>
      </c>
      <c r="I153" s="170">
        <v>0.0</v>
      </c>
      <c r="J153" s="170">
        <v>0.0</v>
      </c>
      <c r="K153" s="170">
        <v>0.34705042571416533</v>
      </c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ht="14.25" customHeight="1">
      <c r="A154" s="147"/>
      <c r="B154" s="67">
        <v>149.0</v>
      </c>
      <c r="C154" s="172"/>
      <c r="D154" s="168" t="s">
        <v>70</v>
      </c>
      <c r="E154" s="169" t="s">
        <v>71</v>
      </c>
      <c r="F154" s="170">
        <v>0.8736</v>
      </c>
      <c r="G154" s="171">
        <v>3.0</v>
      </c>
      <c r="H154" s="170">
        <v>0.3333333333333333</v>
      </c>
      <c r="I154" s="170">
        <v>0.09090909090909091</v>
      </c>
      <c r="J154" s="170">
        <v>5.93498226924047E-5</v>
      </c>
      <c r="K154" s="170">
        <v>0.26848444811303057</v>
      </c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ht="14.25" customHeight="1">
      <c r="A155" s="147"/>
      <c r="B155" s="67">
        <v>150.0</v>
      </c>
      <c r="C155" s="172"/>
      <c r="D155" s="168" t="s">
        <v>202</v>
      </c>
      <c r="E155" s="169" t="s">
        <v>203</v>
      </c>
      <c r="F155" s="170">
        <v>0.9813431382697265</v>
      </c>
      <c r="G155" s="171">
        <v>3.0</v>
      </c>
      <c r="H155" s="170">
        <v>0.3333333333333333</v>
      </c>
      <c r="I155" s="170">
        <v>0.2</v>
      </c>
      <c r="J155" s="170">
        <v>0.005407951321806091</v>
      </c>
      <c r="K155" s="170">
        <v>0.22552218336403473</v>
      </c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ht="14.25" customHeight="1">
      <c r="A156" s="147"/>
      <c r="B156" s="67">
        <v>151.0</v>
      </c>
      <c r="C156" s="172"/>
      <c r="D156" s="168" t="s">
        <v>206</v>
      </c>
      <c r="E156" s="169" t="s">
        <v>207</v>
      </c>
      <c r="F156" s="170">
        <v>0.9239968319737425</v>
      </c>
      <c r="G156" s="171">
        <v>3.0</v>
      </c>
      <c r="H156" s="170">
        <v>0.42857142857142855</v>
      </c>
      <c r="I156" s="170">
        <v>0.16666666666666666</v>
      </c>
      <c r="J156" s="170">
        <v>0.0</v>
      </c>
      <c r="K156" s="170">
        <v>0.193745971155047</v>
      </c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ht="14.25" customHeight="1">
      <c r="A157" s="147"/>
      <c r="B157" s="67">
        <v>152.0</v>
      </c>
      <c r="C157" s="172"/>
      <c r="D157" s="168" t="s">
        <v>76</v>
      </c>
      <c r="E157" s="169" t="s">
        <v>77</v>
      </c>
      <c r="F157" s="170">
        <v>0.7035304818897637</v>
      </c>
      <c r="G157" s="171">
        <v>3.0</v>
      </c>
      <c r="H157" s="170">
        <v>0.3333333333333333</v>
      </c>
      <c r="I157" s="170">
        <v>0.0</v>
      </c>
      <c r="J157" s="170">
        <v>0.0</v>
      </c>
      <c r="K157" s="170">
        <v>0.3110764955576696</v>
      </c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ht="14.25" customHeight="1">
      <c r="A158" s="147"/>
      <c r="B158" s="67">
        <v>153.0</v>
      </c>
      <c r="C158" s="172"/>
      <c r="D158" s="168" t="s">
        <v>204</v>
      </c>
      <c r="E158" s="169" t="s">
        <v>205</v>
      </c>
      <c r="F158" s="170">
        <v>0.6353431297709924</v>
      </c>
      <c r="G158" s="171">
        <v>3.0</v>
      </c>
      <c r="H158" s="170">
        <v>0.5</v>
      </c>
      <c r="I158" s="170">
        <v>0.0</v>
      </c>
      <c r="J158" s="170">
        <v>0.03187083969465649</v>
      </c>
      <c r="K158" s="170">
        <v>0.12895110587102332</v>
      </c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ht="14.25" customHeight="1">
      <c r="A159" s="147"/>
      <c r="B159" s="67">
        <v>154.0</v>
      </c>
      <c r="C159" s="172"/>
      <c r="D159" s="168" t="s">
        <v>82</v>
      </c>
      <c r="E159" s="169" t="s">
        <v>83</v>
      </c>
      <c r="F159" s="170">
        <v>0.8309791861394058</v>
      </c>
      <c r="G159" s="171">
        <v>3.0</v>
      </c>
      <c r="H159" s="170">
        <v>0.42857142857142855</v>
      </c>
      <c r="I159" s="170">
        <v>0.2</v>
      </c>
      <c r="J159" s="170">
        <v>0.008468457940394528</v>
      </c>
      <c r="K159" s="170">
        <v>0.17476999692378525</v>
      </c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ht="14.25" customHeight="1">
      <c r="A160" s="147"/>
      <c r="B160" s="67">
        <v>155.0</v>
      </c>
      <c r="C160" s="172"/>
      <c r="D160" s="168" t="s">
        <v>84</v>
      </c>
      <c r="E160" s="169" t="s">
        <v>85</v>
      </c>
      <c r="F160" s="170">
        <v>0.5941960688506857</v>
      </c>
      <c r="G160" s="171">
        <v>3.0</v>
      </c>
      <c r="H160" s="170">
        <v>0.3333333333333333</v>
      </c>
      <c r="I160" s="170">
        <v>0.0</v>
      </c>
      <c r="J160" s="170">
        <v>0.0</v>
      </c>
      <c r="K160" s="170">
        <v>0.22450108411876632</v>
      </c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ht="14.25" customHeight="1">
      <c r="A161" s="147"/>
      <c r="B161" s="67">
        <v>156.0</v>
      </c>
      <c r="C161" s="172"/>
      <c r="D161" s="168" t="s">
        <v>212</v>
      </c>
      <c r="E161" s="169" t="s">
        <v>213</v>
      </c>
      <c r="F161" s="170">
        <v>0.06780998875331658</v>
      </c>
      <c r="G161" s="171">
        <v>3.0</v>
      </c>
      <c r="H161" s="170">
        <v>0.4</v>
      </c>
      <c r="I161" s="170">
        <v>0.3333333333333333</v>
      </c>
      <c r="J161" s="170">
        <v>0.002897409914231767</v>
      </c>
      <c r="K161" s="170">
        <v>0.18475697708340086</v>
      </c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ht="14.25" customHeight="1">
      <c r="A162" s="147"/>
      <c r="B162" s="67">
        <v>157.0</v>
      </c>
      <c r="C162" s="172"/>
      <c r="D162" s="168" t="s">
        <v>88</v>
      </c>
      <c r="E162" s="169" t="s">
        <v>89</v>
      </c>
      <c r="F162" s="170">
        <v>0.8000000144349708</v>
      </c>
      <c r="G162" s="171">
        <v>3.0</v>
      </c>
      <c r="H162" s="170">
        <v>0.4</v>
      </c>
      <c r="I162" s="170">
        <v>0.25</v>
      </c>
      <c r="J162" s="170">
        <v>8.646547541107369E-5</v>
      </c>
      <c r="K162" s="170">
        <v>0.24086008461340166</v>
      </c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ht="14.25" customHeight="1">
      <c r="A163" s="147"/>
      <c r="B163" s="67">
        <v>158.0</v>
      </c>
      <c r="C163" s="172"/>
      <c r="D163" s="168" t="s">
        <v>86</v>
      </c>
      <c r="E163" s="169" t="s">
        <v>87</v>
      </c>
      <c r="F163" s="170">
        <v>0.7827771280483906</v>
      </c>
      <c r="G163" s="171">
        <v>3.0</v>
      </c>
      <c r="H163" s="170">
        <v>0.5</v>
      </c>
      <c r="I163" s="170">
        <v>0.0</v>
      </c>
      <c r="J163" s="170">
        <v>0.5450138462756426</v>
      </c>
      <c r="K163" s="170">
        <v>0.23427715212649547</v>
      </c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ht="14.25" customHeight="1">
      <c r="A164" s="147"/>
      <c r="B164" s="67">
        <v>159.0</v>
      </c>
      <c r="C164" s="172"/>
      <c r="D164" s="168" t="s">
        <v>226</v>
      </c>
      <c r="E164" s="169" t="s">
        <v>227</v>
      </c>
      <c r="F164" s="170">
        <v>0.4410805632868135</v>
      </c>
      <c r="G164" s="171">
        <v>3.0</v>
      </c>
      <c r="H164" s="170">
        <v>0.3333333333333333</v>
      </c>
      <c r="I164" s="170">
        <v>0.0</v>
      </c>
      <c r="J164" s="170">
        <v>0.0</v>
      </c>
      <c r="K164" s="170">
        <v>0.5044244945728579</v>
      </c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ht="14.25" customHeight="1">
      <c r="A165" s="147"/>
      <c r="B165" s="67">
        <v>160.0</v>
      </c>
      <c r="C165" s="172"/>
      <c r="D165" s="168" t="s">
        <v>90</v>
      </c>
      <c r="E165" s="169" t="s">
        <v>91</v>
      </c>
      <c r="F165" s="170">
        <v>0.9599087347313238</v>
      </c>
      <c r="G165" s="171">
        <v>3.0</v>
      </c>
      <c r="H165" s="170">
        <v>0.8333333333333334</v>
      </c>
      <c r="I165" s="170">
        <v>0.3333333333333333</v>
      </c>
      <c r="J165" s="170">
        <v>0.0</v>
      </c>
      <c r="K165" s="170">
        <v>0.22566329166996135</v>
      </c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ht="14.25" customHeight="1">
      <c r="A166" s="147"/>
      <c r="B166" s="67">
        <v>161.0</v>
      </c>
      <c r="C166" s="172"/>
      <c r="D166" s="168" t="s">
        <v>92</v>
      </c>
      <c r="E166" s="169" t="s">
        <v>93</v>
      </c>
      <c r="F166" s="170">
        <v>0.8494856887298747</v>
      </c>
      <c r="G166" s="171">
        <v>3.0</v>
      </c>
      <c r="H166" s="170">
        <v>0.4</v>
      </c>
      <c r="I166" s="170">
        <v>0.2</v>
      </c>
      <c r="J166" s="170">
        <v>0.0032253279666070362</v>
      </c>
      <c r="K166" s="170">
        <v>0.2248850341218782</v>
      </c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ht="14.25" customHeight="1">
      <c r="A167" s="147"/>
      <c r="B167" s="67">
        <v>162.0</v>
      </c>
      <c r="C167" s="172"/>
      <c r="D167" s="168" t="s">
        <v>94</v>
      </c>
      <c r="E167" s="169" t="s">
        <v>95</v>
      </c>
      <c r="F167" s="170">
        <v>0.6316000000876243</v>
      </c>
      <c r="G167" s="171">
        <v>3.0</v>
      </c>
      <c r="H167" s="170">
        <v>0.5</v>
      </c>
      <c r="I167" s="170">
        <v>0.0</v>
      </c>
      <c r="J167" s="170">
        <v>0.6319154914341136</v>
      </c>
      <c r="K167" s="170">
        <v>0.20709915457815176</v>
      </c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ht="14.25" customHeight="1">
      <c r="A168" s="147"/>
      <c r="B168" s="148"/>
      <c r="C168" s="149"/>
      <c r="D168" s="150"/>
      <c r="E168" s="150"/>
      <c r="F168" s="151"/>
      <c r="G168" s="152"/>
      <c r="H168" s="152"/>
      <c r="I168" s="152"/>
      <c r="J168" s="152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ht="14.25" customHeight="1">
      <c r="A169" s="147"/>
      <c r="B169" s="148"/>
      <c r="C169" s="149"/>
      <c r="D169" s="150"/>
      <c r="E169" s="150" t="s">
        <v>349</v>
      </c>
      <c r="F169" s="151" t="str">
        <f t="shared" ref="F169:K169" si="1">MIN(F6:F168)</f>
        <v>0.0019</v>
      </c>
      <c r="G169" s="152" t="str">
        <f t="shared" si="1"/>
        <v>2.00000</v>
      </c>
      <c r="H169" s="152" t="str">
        <f t="shared" si="1"/>
        <v>0.28571</v>
      </c>
      <c r="I169" s="152" t="str">
        <f t="shared" si="1"/>
        <v>0.00000</v>
      </c>
      <c r="J169" s="152" t="str">
        <f t="shared" si="1"/>
        <v>0.00000</v>
      </c>
      <c r="K169" s="173" t="str">
        <f t="shared" si="1"/>
        <v>0.01744</v>
      </c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ht="14.25" customHeight="1">
      <c r="A170" s="147"/>
      <c r="B170" s="148"/>
      <c r="C170" s="149"/>
      <c r="D170" s="150"/>
      <c r="E170" s="150" t="s">
        <v>350</v>
      </c>
      <c r="F170" s="151" t="str">
        <f t="shared" ref="F170:K170" si="2">AVERAGE(F6:F169)</f>
        <v>0.7279</v>
      </c>
      <c r="G170" s="152" t="str">
        <f t="shared" si="2"/>
        <v>3.00000</v>
      </c>
      <c r="H170" s="152" t="str">
        <f t="shared" si="2"/>
        <v>0.44293</v>
      </c>
      <c r="I170" s="152" t="str">
        <f t="shared" si="2"/>
        <v>0.12503</v>
      </c>
      <c r="J170" s="152" t="str">
        <f t="shared" si="2"/>
        <v>0.07323</v>
      </c>
      <c r="K170" s="173" t="str">
        <f t="shared" si="2"/>
        <v>0.25377</v>
      </c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ht="14.25" customHeight="1">
      <c r="A171" s="147"/>
      <c r="B171" s="148"/>
      <c r="C171" s="149"/>
      <c r="D171" s="150"/>
      <c r="E171" s="150" t="s">
        <v>351</v>
      </c>
      <c r="F171" s="151" t="str">
        <f t="shared" ref="F171:K171" si="3">MAX(F6:F170)</f>
        <v>1.0000</v>
      </c>
      <c r="G171" s="152" t="str">
        <f t="shared" si="3"/>
        <v>4.00000</v>
      </c>
      <c r="H171" s="152" t="str">
        <f t="shared" si="3"/>
        <v>0.83333</v>
      </c>
      <c r="I171" s="152" t="str">
        <f t="shared" si="3"/>
        <v>0.60000</v>
      </c>
      <c r="J171" s="152" t="str">
        <f t="shared" si="3"/>
        <v>0.76505</v>
      </c>
      <c r="K171" s="173" t="str">
        <f t="shared" si="3"/>
        <v>1.66697</v>
      </c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ht="14.25" customHeight="1">
      <c r="A172" s="147"/>
      <c r="B172" s="148"/>
      <c r="C172" s="149"/>
      <c r="D172" s="150"/>
      <c r="E172" s="150"/>
      <c r="F172" s="151"/>
      <c r="G172" s="152"/>
      <c r="H172" s="152"/>
      <c r="I172" s="152"/>
      <c r="J172" s="152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ht="14.25" customHeight="1">
      <c r="A173" s="147"/>
      <c r="B173" s="148"/>
      <c r="C173" s="149"/>
      <c r="D173" s="150"/>
      <c r="E173" s="150"/>
      <c r="F173" s="151"/>
      <c r="G173" s="152"/>
      <c r="H173" s="152"/>
      <c r="I173" s="152"/>
      <c r="J173" s="152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ht="14.25" customHeight="1">
      <c r="A174" s="147"/>
      <c r="B174" s="148"/>
      <c r="C174" s="149"/>
      <c r="D174" s="150"/>
      <c r="E174" s="150"/>
      <c r="F174" s="151"/>
      <c r="G174" s="152"/>
      <c r="H174" s="152"/>
      <c r="I174" s="152"/>
      <c r="J174" s="152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ht="14.25" customHeight="1">
      <c r="A175" s="147"/>
      <c r="B175" s="148"/>
      <c r="C175" s="149"/>
      <c r="D175" s="150"/>
      <c r="E175" s="150"/>
      <c r="F175" s="151"/>
      <c r="G175" s="152"/>
      <c r="H175" s="152"/>
      <c r="I175" s="152"/>
      <c r="J175" s="152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ht="14.25" customHeight="1">
      <c r="A176" s="147"/>
      <c r="B176" s="148"/>
      <c r="C176" s="149"/>
      <c r="D176" s="150"/>
      <c r="E176" s="150"/>
      <c r="F176" s="151"/>
      <c r="G176" s="152"/>
      <c r="H176" s="152"/>
      <c r="I176" s="152"/>
      <c r="J176" s="152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ht="14.25" customHeight="1">
      <c r="A177" s="147"/>
      <c r="B177" s="148"/>
      <c r="C177" s="149"/>
      <c r="D177" s="150"/>
      <c r="E177" s="150"/>
      <c r="F177" s="151"/>
      <c r="G177" s="152"/>
      <c r="H177" s="152"/>
      <c r="I177" s="152"/>
      <c r="J177" s="152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ht="14.25" customHeight="1">
      <c r="A178" s="147"/>
      <c r="B178" s="148"/>
      <c r="C178" s="149"/>
      <c r="D178" s="150"/>
      <c r="E178" s="150"/>
      <c r="F178" s="151"/>
      <c r="G178" s="152"/>
      <c r="H178" s="152"/>
      <c r="I178" s="152"/>
      <c r="J178" s="152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ht="14.25" customHeight="1">
      <c r="A179" s="147"/>
      <c r="B179" s="148"/>
      <c r="C179" s="149"/>
      <c r="D179" s="150"/>
      <c r="E179" s="150"/>
      <c r="F179" s="151"/>
      <c r="G179" s="152"/>
      <c r="H179" s="152"/>
      <c r="I179" s="152"/>
      <c r="J179" s="152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ht="14.25" customHeight="1">
      <c r="A180" s="147"/>
      <c r="B180" s="148"/>
      <c r="C180" s="149"/>
      <c r="D180" s="150"/>
      <c r="E180" s="150"/>
      <c r="F180" s="151"/>
      <c r="G180" s="152"/>
      <c r="H180" s="152"/>
      <c r="I180" s="152"/>
      <c r="J180" s="152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ht="14.25" customHeight="1">
      <c r="A181" s="147"/>
      <c r="B181" s="148"/>
      <c r="C181" s="149"/>
      <c r="D181" s="150"/>
      <c r="E181" s="150"/>
      <c r="F181" s="151"/>
      <c r="G181" s="152"/>
      <c r="H181" s="152"/>
      <c r="I181" s="152"/>
      <c r="J181" s="152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ht="14.25" customHeight="1">
      <c r="A182" s="147"/>
      <c r="B182" s="148"/>
      <c r="C182" s="149"/>
      <c r="D182" s="150"/>
      <c r="E182" s="150"/>
      <c r="F182" s="151"/>
      <c r="G182" s="152"/>
      <c r="H182" s="152"/>
      <c r="I182" s="152"/>
      <c r="J182" s="152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ht="14.25" customHeight="1">
      <c r="A183" s="147"/>
      <c r="B183" s="148"/>
      <c r="C183" s="149"/>
      <c r="D183" s="150"/>
      <c r="E183" s="150"/>
      <c r="F183" s="151"/>
      <c r="G183" s="152"/>
      <c r="H183" s="152"/>
      <c r="I183" s="152"/>
      <c r="J183" s="152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ht="14.25" customHeight="1">
      <c r="A184" s="147"/>
      <c r="B184" s="148"/>
      <c r="C184" s="149"/>
      <c r="D184" s="150"/>
      <c r="E184" s="150"/>
      <c r="F184" s="151"/>
      <c r="G184" s="152"/>
      <c r="H184" s="152"/>
      <c r="I184" s="152"/>
      <c r="J184" s="152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ht="14.25" customHeight="1">
      <c r="A185" s="147"/>
      <c r="B185" s="148"/>
      <c r="C185" s="149"/>
      <c r="D185" s="150"/>
      <c r="E185" s="150"/>
      <c r="F185" s="151"/>
      <c r="G185" s="152"/>
      <c r="H185" s="152"/>
      <c r="I185" s="152"/>
      <c r="J185" s="152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ht="14.25" customHeight="1">
      <c r="A186" s="147"/>
      <c r="B186" s="148"/>
      <c r="C186" s="149"/>
      <c r="D186" s="150"/>
      <c r="E186" s="150"/>
      <c r="F186" s="151"/>
      <c r="G186" s="152"/>
      <c r="H186" s="152"/>
      <c r="I186" s="152"/>
      <c r="J186" s="152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ht="14.25" customHeight="1">
      <c r="A187" s="147"/>
      <c r="B187" s="148"/>
      <c r="C187" s="149"/>
      <c r="D187" s="150"/>
      <c r="E187" s="150"/>
      <c r="F187" s="151"/>
      <c r="G187" s="152"/>
      <c r="H187" s="152"/>
      <c r="I187" s="152"/>
      <c r="J187" s="152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ht="14.25" customHeight="1">
      <c r="A188" s="147"/>
      <c r="B188" s="148"/>
      <c r="C188" s="149"/>
      <c r="D188" s="150"/>
      <c r="E188" s="150"/>
      <c r="F188" s="151"/>
      <c r="G188" s="152"/>
      <c r="H188" s="152"/>
      <c r="I188" s="152"/>
      <c r="J188" s="152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ht="14.25" customHeight="1">
      <c r="A189" s="147"/>
      <c r="B189" s="148"/>
      <c r="C189" s="149"/>
      <c r="D189" s="150"/>
      <c r="E189" s="150"/>
      <c r="F189" s="151"/>
      <c r="G189" s="152"/>
      <c r="H189" s="152"/>
      <c r="I189" s="152"/>
      <c r="J189" s="152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ht="14.25" customHeight="1">
      <c r="A190" s="147"/>
      <c r="B190" s="148"/>
      <c r="C190" s="149"/>
      <c r="D190" s="150"/>
      <c r="E190" s="150"/>
      <c r="F190" s="151"/>
      <c r="G190" s="152"/>
      <c r="H190" s="152"/>
      <c r="I190" s="152"/>
      <c r="J190" s="152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ht="14.25" customHeight="1">
      <c r="A191" s="147"/>
      <c r="B191" s="148"/>
      <c r="C191" s="149"/>
      <c r="D191" s="150"/>
      <c r="E191" s="150"/>
      <c r="F191" s="151"/>
      <c r="G191" s="152"/>
      <c r="H191" s="152"/>
      <c r="I191" s="152"/>
      <c r="J191" s="152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ht="14.25" customHeight="1">
      <c r="A192" s="147"/>
      <c r="B192" s="148"/>
      <c r="C192" s="149"/>
      <c r="D192" s="150"/>
      <c r="E192" s="150"/>
      <c r="F192" s="151"/>
      <c r="G192" s="152"/>
      <c r="H192" s="152"/>
      <c r="I192" s="152"/>
      <c r="J192" s="152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ht="14.25" customHeight="1">
      <c r="A193" s="147"/>
      <c r="B193" s="148"/>
      <c r="C193" s="149"/>
      <c r="D193" s="150"/>
      <c r="E193" s="150"/>
      <c r="F193" s="151"/>
      <c r="G193" s="152"/>
      <c r="H193" s="152"/>
      <c r="I193" s="152"/>
      <c r="J193" s="152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ht="14.25" customHeight="1">
      <c r="A194" s="147"/>
      <c r="B194" s="148"/>
      <c r="C194" s="149"/>
      <c r="D194" s="150"/>
      <c r="E194" s="150"/>
      <c r="F194" s="151"/>
      <c r="G194" s="152"/>
      <c r="H194" s="152"/>
      <c r="I194" s="152"/>
      <c r="J194" s="152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ht="14.25" customHeight="1">
      <c r="A195" s="147"/>
      <c r="B195" s="148"/>
      <c r="C195" s="149"/>
      <c r="D195" s="150"/>
      <c r="E195" s="150"/>
      <c r="F195" s="151"/>
      <c r="G195" s="152"/>
      <c r="H195" s="152"/>
      <c r="I195" s="152"/>
      <c r="J195" s="152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ht="14.25" customHeight="1">
      <c r="A196" s="147"/>
      <c r="B196" s="148"/>
      <c r="C196" s="149"/>
      <c r="D196" s="150"/>
      <c r="E196" s="150"/>
      <c r="F196" s="151"/>
      <c r="G196" s="152"/>
      <c r="H196" s="152"/>
      <c r="I196" s="152"/>
      <c r="J196" s="152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ht="14.25" customHeight="1">
      <c r="A197" s="147"/>
      <c r="B197" s="148"/>
      <c r="C197" s="149"/>
      <c r="D197" s="150"/>
      <c r="E197" s="150"/>
      <c r="F197" s="151"/>
      <c r="G197" s="152"/>
      <c r="H197" s="152"/>
      <c r="I197" s="152"/>
      <c r="J197" s="152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ht="14.25" customHeight="1">
      <c r="A198" s="147"/>
      <c r="B198" s="148"/>
      <c r="C198" s="149"/>
      <c r="D198" s="150"/>
      <c r="E198" s="150"/>
      <c r="F198" s="151"/>
      <c r="G198" s="152"/>
      <c r="H198" s="152"/>
      <c r="I198" s="152"/>
      <c r="J198" s="152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ht="14.25" customHeight="1">
      <c r="A199" s="147"/>
      <c r="B199" s="148"/>
      <c r="C199" s="149"/>
      <c r="D199" s="150"/>
      <c r="E199" s="150"/>
      <c r="F199" s="151"/>
      <c r="G199" s="152"/>
      <c r="H199" s="152"/>
      <c r="I199" s="152"/>
      <c r="J199" s="152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ht="14.25" customHeight="1">
      <c r="A200" s="147"/>
      <c r="B200" s="148"/>
      <c r="C200" s="149"/>
      <c r="D200" s="150"/>
      <c r="E200" s="150"/>
      <c r="F200" s="151"/>
      <c r="G200" s="152"/>
      <c r="H200" s="152"/>
      <c r="I200" s="152"/>
      <c r="J200" s="152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ht="14.25" customHeight="1">
      <c r="A201" s="147"/>
      <c r="B201" s="148"/>
      <c r="C201" s="149"/>
      <c r="D201" s="150"/>
      <c r="E201" s="150"/>
      <c r="F201" s="151"/>
      <c r="G201" s="152"/>
      <c r="H201" s="152"/>
      <c r="I201" s="152"/>
      <c r="J201" s="152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ht="14.25" customHeight="1">
      <c r="A202" s="147"/>
      <c r="B202" s="148"/>
      <c r="C202" s="149"/>
      <c r="D202" s="150"/>
      <c r="E202" s="150"/>
      <c r="F202" s="151"/>
      <c r="G202" s="152"/>
      <c r="H202" s="152"/>
      <c r="I202" s="152"/>
      <c r="J202" s="152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ht="14.25" customHeight="1">
      <c r="A203" s="147"/>
      <c r="B203" s="148"/>
      <c r="C203" s="149"/>
      <c r="D203" s="150"/>
      <c r="E203" s="150"/>
      <c r="F203" s="151"/>
      <c r="G203" s="152"/>
      <c r="H203" s="152"/>
      <c r="I203" s="152"/>
      <c r="J203" s="152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ht="14.25" customHeight="1">
      <c r="A204" s="147"/>
      <c r="B204" s="148"/>
      <c r="C204" s="149"/>
      <c r="D204" s="150"/>
      <c r="E204" s="150"/>
      <c r="F204" s="151"/>
      <c r="G204" s="152"/>
      <c r="H204" s="152"/>
      <c r="I204" s="152"/>
      <c r="J204" s="152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ht="14.25" customHeight="1">
      <c r="A205" s="147"/>
      <c r="B205" s="148"/>
      <c r="C205" s="149"/>
      <c r="D205" s="150"/>
      <c r="E205" s="150"/>
      <c r="F205" s="151"/>
      <c r="G205" s="152"/>
      <c r="H205" s="152"/>
      <c r="I205" s="152"/>
      <c r="J205" s="152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ht="14.25" customHeight="1">
      <c r="A206" s="147"/>
      <c r="B206" s="148"/>
      <c r="C206" s="149"/>
      <c r="D206" s="150"/>
      <c r="E206" s="150"/>
      <c r="F206" s="151"/>
      <c r="G206" s="152"/>
      <c r="H206" s="152"/>
      <c r="I206" s="152"/>
      <c r="J206" s="152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ht="14.25" customHeight="1">
      <c r="A207" s="147"/>
      <c r="B207" s="148"/>
      <c r="C207" s="149"/>
      <c r="D207" s="150"/>
      <c r="E207" s="150"/>
      <c r="F207" s="151"/>
      <c r="G207" s="152"/>
      <c r="H207" s="152"/>
      <c r="I207" s="152"/>
      <c r="J207" s="152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ht="14.25" customHeight="1">
      <c r="A208" s="147"/>
      <c r="B208" s="148"/>
      <c r="C208" s="149"/>
      <c r="D208" s="150"/>
      <c r="E208" s="150"/>
      <c r="F208" s="151"/>
      <c r="G208" s="152"/>
      <c r="H208" s="152"/>
      <c r="I208" s="152"/>
      <c r="J208" s="152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ht="14.25" customHeight="1">
      <c r="A209" s="147"/>
      <c r="B209" s="148"/>
      <c r="C209" s="149"/>
      <c r="D209" s="150"/>
      <c r="E209" s="150"/>
      <c r="F209" s="151"/>
      <c r="G209" s="152"/>
      <c r="H209" s="152"/>
      <c r="I209" s="152"/>
      <c r="J209" s="152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ht="14.25" customHeight="1">
      <c r="A210" s="147"/>
      <c r="B210" s="148"/>
      <c r="C210" s="149"/>
      <c r="D210" s="150"/>
      <c r="E210" s="150"/>
      <c r="F210" s="151"/>
      <c r="G210" s="152"/>
      <c r="H210" s="152"/>
      <c r="I210" s="152"/>
      <c r="J210" s="152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ht="14.25" customHeight="1">
      <c r="A211" s="147"/>
      <c r="B211" s="148"/>
      <c r="C211" s="149"/>
      <c r="D211" s="150"/>
      <c r="E211" s="150"/>
      <c r="F211" s="151"/>
      <c r="G211" s="152"/>
      <c r="H211" s="152"/>
      <c r="I211" s="152"/>
      <c r="J211" s="152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ht="14.25" customHeight="1">
      <c r="A212" s="147"/>
      <c r="B212" s="148"/>
      <c r="C212" s="149"/>
      <c r="D212" s="150"/>
      <c r="E212" s="150"/>
      <c r="F212" s="151"/>
      <c r="G212" s="152"/>
      <c r="H212" s="152"/>
      <c r="I212" s="152"/>
      <c r="J212" s="152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ht="14.25" customHeight="1">
      <c r="A213" s="147"/>
      <c r="B213" s="148"/>
      <c r="C213" s="149"/>
      <c r="D213" s="150"/>
      <c r="E213" s="150"/>
      <c r="F213" s="151"/>
      <c r="G213" s="152"/>
      <c r="H213" s="152"/>
      <c r="I213" s="152"/>
      <c r="J213" s="152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ht="14.25" customHeight="1">
      <c r="A214" s="147"/>
      <c r="B214" s="148"/>
      <c r="C214" s="149"/>
      <c r="D214" s="150"/>
      <c r="E214" s="150"/>
      <c r="F214" s="151"/>
      <c r="G214" s="152"/>
      <c r="H214" s="152"/>
      <c r="I214" s="152"/>
      <c r="J214" s="152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ht="14.25" customHeight="1">
      <c r="A215" s="147"/>
      <c r="B215" s="148"/>
      <c r="C215" s="149"/>
      <c r="D215" s="150"/>
      <c r="E215" s="150"/>
      <c r="F215" s="151"/>
      <c r="G215" s="152"/>
      <c r="H215" s="152"/>
      <c r="I215" s="152"/>
      <c r="J215" s="152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ht="14.25" customHeight="1">
      <c r="A216" s="147"/>
      <c r="B216" s="148"/>
      <c r="C216" s="149"/>
      <c r="D216" s="150"/>
      <c r="E216" s="150"/>
      <c r="F216" s="151"/>
      <c r="G216" s="152"/>
      <c r="H216" s="152"/>
      <c r="I216" s="152"/>
      <c r="J216" s="152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ht="14.25" customHeight="1">
      <c r="A217" s="147"/>
      <c r="B217" s="148"/>
      <c r="C217" s="149"/>
      <c r="D217" s="150"/>
      <c r="E217" s="150"/>
      <c r="F217" s="151"/>
      <c r="G217" s="152"/>
      <c r="H217" s="152"/>
      <c r="I217" s="152"/>
      <c r="J217" s="152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ht="14.25" customHeight="1">
      <c r="A218" s="147"/>
      <c r="B218" s="148"/>
      <c r="C218" s="149"/>
      <c r="D218" s="150"/>
      <c r="E218" s="150"/>
      <c r="F218" s="151"/>
      <c r="G218" s="152"/>
      <c r="H218" s="152"/>
      <c r="I218" s="152"/>
      <c r="J218" s="152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ht="14.25" customHeight="1">
      <c r="A219" s="147"/>
      <c r="B219" s="148"/>
      <c r="C219" s="149"/>
      <c r="D219" s="150"/>
      <c r="E219" s="150"/>
      <c r="F219" s="151"/>
      <c r="G219" s="152"/>
      <c r="H219" s="152"/>
      <c r="I219" s="152"/>
      <c r="J219" s="152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ht="14.25" customHeight="1">
      <c r="A220" s="147"/>
      <c r="B220" s="148"/>
      <c r="C220" s="149"/>
      <c r="D220" s="150"/>
      <c r="E220" s="150"/>
      <c r="F220" s="151"/>
      <c r="G220" s="152"/>
      <c r="H220" s="152"/>
      <c r="I220" s="152"/>
      <c r="J220" s="152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ht="14.25" customHeight="1">
      <c r="A221" s="147"/>
      <c r="B221" s="148"/>
      <c r="C221" s="149"/>
      <c r="D221" s="150"/>
      <c r="E221" s="150"/>
      <c r="F221" s="151"/>
      <c r="G221" s="152"/>
      <c r="H221" s="152"/>
      <c r="I221" s="152"/>
      <c r="J221" s="152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ht="14.25" customHeight="1">
      <c r="A222" s="147"/>
      <c r="B222" s="148"/>
      <c r="C222" s="149"/>
      <c r="D222" s="150"/>
      <c r="E222" s="150"/>
      <c r="F222" s="151"/>
      <c r="G222" s="152"/>
      <c r="H222" s="152"/>
      <c r="I222" s="152"/>
      <c r="J222" s="152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ht="14.25" customHeight="1">
      <c r="A223" s="147"/>
      <c r="B223" s="148"/>
      <c r="C223" s="149"/>
      <c r="D223" s="150"/>
      <c r="E223" s="150"/>
      <c r="F223" s="151"/>
      <c r="G223" s="152"/>
      <c r="H223" s="152"/>
      <c r="I223" s="152"/>
      <c r="J223" s="152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ht="14.25" customHeight="1">
      <c r="A224" s="147"/>
      <c r="B224" s="148"/>
      <c r="C224" s="149"/>
      <c r="D224" s="150"/>
      <c r="E224" s="150"/>
      <c r="F224" s="151"/>
      <c r="G224" s="152"/>
      <c r="H224" s="152"/>
      <c r="I224" s="152"/>
      <c r="J224" s="152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ht="14.25" customHeight="1">
      <c r="A225" s="147"/>
      <c r="B225" s="148"/>
      <c r="C225" s="149"/>
      <c r="D225" s="150"/>
      <c r="E225" s="150"/>
      <c r="F225" s="151"/>
      <c r="G225" s="152"/>
      <c r="H225" s="152"/>
      <c r="I225" s="152"/>
      <c r="J225" s="152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ht="14.25" customHeight="1">
      <c r="A226" s="147"/>
      <c r="B226" s="148"/>
      <c r="C226" s="149"/>
      <c r="D226" s="150"/>
      <c r="E226" s="150"/>
      <c r="F226" s="151"/>
      <c r="G226" s="152"/>
      <c r="H226" s="152"/>
      <c r="I226" s="152"/>
      <c r="J226" s="152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ht="14.25" customHeight="1">
      <c r="A227" s="147"/>
      <c r="B227" s="148"/>
      <c r="C227" s="149"/>
      <c r="D227" s="150"/>
      <c r="E227" s="150"/>
      <c r="F227" s="151"/>
      <c r="G227" s="152"/>
      <c r="H227" s="152"/>
      <c r="I227" s="152"/>
      <c r="J227" s="152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ht="14.25" customHeight="1">
      <c r="A228" s="147"/>
      <c r="B228" s="148"/>
      <c r="C228" s="149"/>
      <c r="D228" s="150"/>
      <c r="E228" s="150"/>
      <c r="F228" s="151"/>
      <c r="G228" s="152"/>
      <c r="H228" s="152"/>
      <c r="I228" s="152"/>
      <c r="J228" s="152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ht="14.25" customHeight="1">
      <c r="A229" s="147"/>
      <c r="B229" s="148"/>
      <c r="C229" s="149"/>
      <c r="D229" s="150"/>
      <c r="E229" s="150"/>
      <c r="F229" s="151"/>
      <c r="G229" s="152"/>
      <c r="H229" s="152"/>
      <c r="I229" s="152"/>
      <c r="J229" s="152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ht="14.25" customHeight="1">
      <c r="A230" s="147"/>
      <c r="B230" s="148"/>
      <c r="C230" s="149"/>
      <c r="D230" s="150"/>
      <c r="E230" s="150"/>
      <c r="F230" s="151"/>
      <c r="G230" s="152"/>
      <c r="H230" s="152"/>
      <c r="I230" s="152"/>
      <c r="J230" s="152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ht="14.25" customHeight="1">
      <c r="A231" s="147"/>
      <c r="B231" s="148"/>
      <c r="C231" s="149"/>
      <c r="D231" s="150"/>
      <c r="E231" s="150"/>
      <c r="F231" s="151"/>
      <c r="G231" s="152"/>
      <c r="H231" s="152"/>
      <c r="I231" s="152"/>
      <c r="J231" s="152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ht="14.25" customHeight="1">
      <c r="A232" s="147"/>
      <c r="B232" s="148"/>
      <c r="C232" s="149"/>
      <c r="D232" s="150"/>
      <c r="E232" s="150"/>
      <c r="F232" s="151"/>
      <c r="G232" s="152"/>
      <c r="H232" s="152"/>
      <c r="I232" s="152"/>
      <c r="J232" s="152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ht="14.25" customHeight="1">
      <c r="A233" s="147"/>
      <c r="B233" s="148"/>
      <c r="C233" s="149"/>
      <c r="D233" s="150"/>
      <c r="E233" s="150"/>
      <c r="F233" s="151"/>
      <c r="G233" s="152"/>
      <c r="H233" s="152"/>
      <c r="I233" s="152"/>
      <c r="J233" s="152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ht="14.25" customHeight="1">
      <c r="A234" s="147"/>
      <c r="B234" s="148"/>
      <c r="C234" s="149"/>
      <c r="D234" s="150"/>
      <c r="E234" s="150"/>
      <c r="F234" s="151"/>
      <c r="G234" s="152"/>
      <c r="H234" s="152"/>
      <c r="I234" s="152"/>
      <c r="J234" s="152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ht="14.25" customHeight="1">
      <c r="A235" s="147"/>
      <c r="B235" s="148"/>
      <c r="C235" s="149"/>
      <c r="D235" s="150"/>
      <c r="E235" s="150"/>
      <c r="F235" s="151"/>
      <c r="G235" s="152"/>
      <c r="H235" s="152"/>
      <c r="I235" s="152"/>
      <c r="J235" s="152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ht="14.25" customHeight="1">
      <c r="A236" s="147"/>
      <c r="B236" s="148"/>
      <c r="C236" s="149"/>
      <c r="D236" s="150"/>
      <c r="E236" s="150"/>
      <c r="F236" s="151"/>
      <c r="G236" s="152"/>
      <c r="H236" s="152"/>
      <c r="I236" s="152"/>
      <c r="J236" s="152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ht="14.25" customHeight="1">
      <c r="A237" s="147"/>
      <c r="B237" s="148"/>
      <c r="C237" s="149"/>
      <c r="D237" s="150"/>
      <c r="E237" s="150"/>
      <c r="F237" s="151"/>
      <c r="G237" s="152"/>
      <c r="H237" s="152"/>
      <c r="I237" s="152"/>
      <c r="J237" s="152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ht="14.25" customHeight="1">
      <c r="A238" s="147"/>
      <c r="B238" s="148"/>
      <c r="C238" s="149"/>
      <c r="D238" s="150"/>
      <c r="E238" s="150"/>
      <c r="F238" s="151"/>
      <c r="G238" s="152"/>
      <c r="H238" s="152"/>
      <c r="I238" s="152"/>
      <c r="J238" s="152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ht="14.25" customHeight="1">
      <c r="A239" s="147"/>
      <c r="B239" s="148"/>
      <c r="C239" s="149"/>
      <c r="D239" s="150"/>
      <c r="E239" s="150"/>
      <c r="F239" s="151"/>
      <c r="G239" s="152"/>
      <c r="H239" s="152"/>
      <c r="I239" s="152"/>
      <c r="J239" s="152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ht="14.25" customHeight="1">
      <c r="A240" s="147"/>
      <c r="B240" s="148"/>
      <c r="C240" s="149"/>
      <c r="D240" s="150"/>
      <c r="E240" s="150"/>
      <c r="F240" s="151"/>
      <c r="G240" s="152"/>
      <c r="H240" s="152"/>
      <c r="I240" s="152"/>
      <c r="J240" s="152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ht="14.25" customHeight="1">
      <c r="A241" s="147"/>
      <c r="B241" s="148"/>
      <c r="C241" s="149"/>
      <c r="D241" s="150"/>
      <c r="E241" s="150"/>
      <c r="F241" s="151"/>
      <c r="G241" s="152"/>
      <c r="H241" s="152"/>
      <c r="I241" s="152"/>
      <c r="J241" s="152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ht="14.25" customHeight="1">
      <c r="A242" s="147"/>
      <c r="B242" s="148"/>
      <c r="C242" s="149"/>
      <c r="D242" s="150"/>
      <c r="E242" s="150"/>
      <c r="F242" s="151"/>
      <c r="G242" s="152"/>
      <c r="H242" s="152"/>
      <c r="I242" s="152"/>
      <c r="J242" s="152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ht="14.25" customHeight="1">
      <c r="A243" s="147"/>
      <c r="B243" s="148"/>
      <c r="C243" s="149"/>
      <c r="D243" s="150"/>
      <c r="E243" s="150"/>
      <c r="F243" s="151"/>
      <c r="G243" s="152"/>
      <c r="H243" s="152"/>
      <c r="I243" s="152"/>
      <c r="J243" s="152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ht="14.25" customHeight="1">
      <c r="A244" s="147"/>
      <c r="B244" s="148"/>
      <c r="C244" s="149"/>
      <c r="D244" s="150"/>
      <c r="E244" s="150"/>
      <c r="F244" s="151"/>
      <c r="G244" s="152"/>
      <c r="H244" s="152"/>
      <c r="I244" s="152"/>
      <c r="J244" s="152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ht="14.25" customHeight="1">
      <c r="A245" s="147"/>
      <c r="B245" s="148"/>
      <c r="C245" s="149"/>
      <c r="D245" s="150"/>
      <c r="E245" s="150"/>
      <c r="F245" s="151"/>
      <c r="G245" s="152"/>
      <c r="H245" s="152"/>
      <c r="I245" s="152"/>
      <c r="J245" s="152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ht="14.25" customHeight="1">
      <c r="A246" s="147"/>
      <c r="B246" s="148"/>
      <c r="C246" s="149"/>
      <c r="D246" s="150"/>
      <c r="E246" s="150"/>
      <c r="F246" s="151"/>
      <c r="G246" s="152"/>
      <c r="H246" s="152"/>
      <c r="I246" s="152"/>
      <c r="J246" s="152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ht="14.25" customHeight="1">
      <c r="A247" s="147"/>
      <c r="B247" s="148"/>
      <c r="C247" s="149"/>
      <c r="D247" s="150"/>
      <c r="E247" s="150"/>
      <c r="F247" s="151"/>
      <c r="G247" s="152"/>
      <c r="H247" s="152"/>
      <c r="I247" s="152"/>
      <c r="J247" s="152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ht="14.25" customHeight="1">
      <c r="A248" s="147"/>
      <c r="B248" s="148"/>
      <c r="C248" s="149"/>
      <c r="D248" s="150"/>
      <c r="E248" s="150"/>
      <c r="F248" s="151"/>
      <c r="G248" s="152"/>
      <c r="H248" s="152"/>
      <c r="I248" s="152"/>
      <c r="J248" s="152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ht="14.25" customHeight="1">
      <c r="A249" s="147"/>
      <c r="B249" s="148"/>
      <c r="C249" s="149"/>
      <c r="D249" s="150"/>
      <c r="E249" s="150"/>
      <c r="F249" s="151"/>
      <c r="G249" s="152"/>
      <c r="H249" s="152"/>
      <c r="I249" s="152"/>
      <c r="J249" s="152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ht="14.25" customHeight="1">
      <c r="A250" s="147"/>
      <c r="B250" s="148"/>
      <c r="C250" s="149"/>
      <c r="D250" s="150"/>
      <c r="E250" s="150"/>
      <c r="F250" s="151"/>
      <c r="G250" s="152"/>
      <c r="H250" s="152"/>
      <c r="I250" s="152"/>
      <c r="J250" s="152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ht="14.25" customHeight="1">
      <c r="A251" s="147"/>
      <c r="B251" s="148"/>
      <c r="C251" s="149"/>
      <c r="D251" s="150"/>
      <c r="E251" s="150"/>
      <c r="F251" s="151"/>
      <c r="G251" s="152"/>
      <c r="H251" s="152"/>
      <c r="I251" s="152"/>
      <c r="J251" s="152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ht="14.25" customHeight="1">
      <c r="A252" s="147"/>
      <c r="B252" s="148"/>
      <c r="C252" s="149"/>
      <c r="D252" s="150"/>
      <c r="E252" s="150"/>
      <c r="F252" s="151"/>
      <c r="G252" s="152"/>
      <c r="H252" s="152"/>
      <c r="I252" s="152"/>
      <c r="J252" s="152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ht="14.25" customHeight="1">
      <c r="A253" s="147"/>
      <c r="B253" s="148"/>
      <c r="C253" s="149"/>
      <c r="D253" s="150"/>
      <c r="E253" s="150"/>
      <c r="F253" s="151"/>
      <c r="G253" s="152"/>
      <c r="H253" s="152"/>
      <c r="I253" s="152"/>
      <c r="J253" s="152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ht="14.25" customHeight="1">
      <c r="A254" s="147"/>
      <c r="B254" s="148"/>
      <c r="C254" s="149"/>
      <c r="D254" s="150"/>
      <c r="E254" s="150"/>
      <c r="F254" s="151"/>
      <c r="G254" s="152"/>
      <c r="H254" s="152"/>
      <c r="I254" s="152"/>
      <c r="J254" s="152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ht="14.25" customHeight="1">
      <c r="A255" s="147"/>
      <c r="B255" s="148"/>
      <c r="C255" s="149"/>
      <c r="D255" s="150"/>
      <c r="E255" s="150"/>
      <c r="F255" s="151"/>
      <c r="G255" s="152"/>
      <c r="H255" s="152"/>
      <c r="I255" s="152"/>
      <c r="J255" s="152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ht="14.25" customHeight="1">
      <c r="A256" s="147"/>
      <c r="B256" s="148"/>
      <c r="C256" s="149"/>
      <c r="D256" s="150"/>
      <c r="E256" s="150"/>
      <c r="F256" s="151"/>
      <c r="G256" s="152"/>
      <c r="H256" s="152"/>
      <c r="I256" s="152"/>
      <c r="J256" s="152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ht="14.25" customHeight="1">
      <c r="A257" s="147"/>
      <c r="B257" s="148"/>
      <c r="C257" s="149"/>
      <c r="D257" s="150"/>
      <c r="E257" s="150"/>
      <c r="F257" s="151"/>
      <c r="G257" s="152"/>
      <c r="H257" s="152"/>
      <c r="I257" s="152"/>
      <c r="J257" s="152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ht="14.25" customHeight="1">
      <c r="A258" s="147"/>
      <c r="B258" s="148"/>
      <c r="C258" s="149"/>
      <c r="D258" s="150"/>
      <c r="E258" s="150"/>
      <c r="F258" s="151"/>
      <c r="G258" s="152"/>
      <c r="H258" s="152"/>
      <c r="I258" s="152"/>
      <c r="J258" s="152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ht="14.25" customHeight="1">
      <c r="A259" s="147"/>
      <c r="B259" s="148"/>
      <c r="C259" s="149"/>
      <c r="D259" s="150"/>
      <c r="E259" s="150"/>
      <c r="F259" s="151"/>
      <c r="G259" s="152"/>
      <c r="H259" s="152"/>
      <c r="I259" s="152"/>
      <c r="J259" s="152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ht="14.25" customHeight="1">
      <c r="A260" s="147"/>
      <c r="B260" s="148"/>
      <c r="C260" s="149"/>
      <c r="D260" s="150"/>
      <c r="E260" s="150"/>
      <c r="F260" s="151"/>
      <c r="G260" s="152"/>
      <c r="H260" s="152"/>
      <c r="I260" s="152"/>
      <c r="J260" s="152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ht="14.25" customHeight="1">
      <c r="A261" s="147"/>
      <c r="B261" s="148"/>
      <c r="C261" s="149"/>
      <c r="D261" s="150"/>
      <c r="E261" s="150"/>
      <c r="F261" s="151"/>
      <c r="G261" s="152"/>
      <c r="H261" s="152"/>
      <c r="I261" s="152"/>
      <c r="J261" s="152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ht="14.25" customHeight="1">
      <c r="A262" s="147"/>
      <c r="B262" s="148"/>
      <c r="C262" s="149"/>
      <c r="D262" s="150"/>
      <c r="E262" s="150"/>
      <c r="F262" s="151"/>
      <c r="G262" s="152"/>
      <c r="H262" s="152"/>
      <c r="I262" s="152"/>
      <c r="J262" s="152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ht="14.25" customHeight="1">
      <c r="A263" s="147"/>
      <c r="B263" s="148"/>
      <c r="C263" s="149"/>
      <c r="D263" s="150"/>
      <c r="E263" s="150"/>
      <c r="F263" s="151"/>
      <c r="G263" s="152"/>
      <c r="H263" s="152"/>
      <c r="I263" s="152"/>
      <c r="J263" s="152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ht="14.25" customHeight="1">
      <c r="A264" s="147"/>
      <c r="B264" s="148"/>
      <c r="C264" s="149"/>
      <c r="D264" s="150"/>
      <c r="E264" s="150"/>
      <c r="F264" s="151"/>
      <c r="G264" s="152"/>
      <c r="H264" s="152"/>
      <c r="I264" s="152"/>
      <c r="J264" s="152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ht="14.25" customHeight="1">
      <c r="A265" s="147"/>
      <c r="B265" s="148"/>
      <c r="C265" s="149"/>
      <c r="D265" s="150"/>
      <c r="E265" s="150"/>
      <c r="F265" s="151"/>
      <c r="G265" s="152"/>
      <c r="H265" s="152"/>
      <c r="I265" s="152"/>
      <c r="J265" s="152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ht="14.25" customHeight="1">
      <c r="A266" s="147"/>
      <c r="B266" s="148"/>
      <c r="C266" s="149"/>
      <c r="D266" s="150"/>
      <c r="E266" s="150"/>
      <c r="F266" s="151"/>
      <c r="G266" s="152"/>
      <c r="H266" s="152"/>
      <c r="I266" s="152"/>
      <c r="J266" s="152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ht="14.25" customHeight="1">
      <c r="A267" s="147"/>
      <c r="B267" s="148"/>
      <c r="C267" s="149"/>
      <c r="D267" s="150"/>
      <c r="E267" s="150"/>
      <c r="F267" s="151"/>
      <c r="G267" s="152"/>
      <c r="H267" s="152"/>
      <c r="I267" s="152"/>
      <c r="J267" s="152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ht="14.25" customHeight="1">
      <c r="A268" s="147"/>
      <c r="B268" s="148"/>
      <c r="C268" s="149"/>
      <c r="D268" s="150"/>
      <c r="E268" s="150"/>
      <c r="F268" s="151"/>
      <c r="G268" s="152"/>
      <c r="H268" s="152"/>
      <c r="I268" s="152"/>
      <c r="J268" s="152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ht="14.25" customHeight="1">
      <c r="A269" s="147"/>
      <c r="B269" s="148"/>
      <c r="C269" s="149"/>
      <c r="D269" s="150"/>
      <c r="E269" s="150"/>
      <c r="F269" s="151"/>
      <c r="G269" s="152"/>
      <c r="H269" s="152"/>
      <c r="I269" s="152"/>
      <c r="J269" s="152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ht="14.25" customHeight="1">
      <c r="A270" s="147"/>
      <c r="B270" s="148"/>
      <c r="C270" s="149"/>
      <c r="D270" s="150"/>
      <c r="E270" s="150"/>
      <c r="F270" s="151"/>
      <c r="G270" s="152"/>
      <c r="H270" s="152"/>
      <c r="I270" s="152"/>
      <c r="J270" s="152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ht="14.25" customHeight="1">
      <c r="A271" s="147"/>
      <c r="B271" s="148"/>
      <c r="C271" s="149"/>
      <c r="D271" s="150"/>
      <c r="E271" s="150"/>
      <c r="F271" s="151"/>
      <c r="G271" s="152"/>
      <c r="H271" s="152"/>
      <c r="I271" s="152"/>
      <c r="J271" s="152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ht="14.25" customHeight="1">
      <c r="A272" s="147"/>
      <c r="B272" s="148"/>
      <c r="C272" s="149"/>
      <c r="D272" s="150"/>
      <c r="E272" s="150"/>
      <c r="F272" s="151"/>
      <c r="G272" s="152"/>
      <c r="H272" s="152"/>
      <c r="I272" s="152"/>
      <c r="J272" s="152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ht="14.25" customHeight="1">
      <c r="A273" s="147"/>
      <c r="B273" s="148"/>
      <c r="C273" s="149"/>
      <c r="D273" s="150"/>
      <c r="E273" s="150"/>
      <c r="F273" s="151"/>
      <c r="G273" s="152"/>
      <c r="H273" s="152"/>
      <c r="I273" s="152"/>
      <c r="J273" s="152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ht="14.25" customHeight="1">
      <c r="A274" s="147"/>
      <c r="B274" s="148"/>
      <c r="C274" s="149"/>
      <c r="D274" s="150"/>
      <c r="E274" s="150"/>
      <c r="F274" s="151"/>
      <c r="G274" s="152"/>
      <c r="H274" s="152"/>
      <c r="I274" s="152"/>
      <c r="J274" s="152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ht="14.25" customHeight="1">
      <c r="A275" s="147"/>
      <c r="B275" s="148"/>
      <c r="C275" s="149"/>
      <c r="D275" s="150"/>
      <c r="E275" s="150"/>
      <c r="F275" s="151"/>
      <c r="G275" s="152"/>
      <c r="H275" s="152"/>
      <c r="I275" s="152"/>
      <c r="J275" s="152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ht="14.25" customHeight="1">
      <c r="A276" s="147"/>
      <c r="B276" s="148"/>
      <c r="C276" s="149"/>
      <c r="D276" s="150"/>
      <c r="E276" s="150"/>
      <c r="F276" s="151"/>
      <c r="G276" s="152"/>
      <c r="H276" s="152"/>
      <c r="I276" s="152"/>
      <c r="J276" s="152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ht="14.25" customHeight="1">
      <c r="A277" s="147"/>
      <c r="B277" s="148"/>
      <c r="C277" s="149"/>
      <c r="D277" s="150"/>
      <c r="E277" s="150"/>
      <c r="F277" s="151"/>
      <c r="G277" s="152"/>
      <c r="H277" s="152"/>
      <c r="I277" s="152"/>
      <c r="J277" s="152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ht="14.25" customHeight="1">
      <c r="A278" s="147"/>
      <c r="B278" s="148"/>
      <c r="C278" s="149"/>
      <c r="D278" s="150"/>
      <c r="E278" s="150"/>
      <c r="F278" s="151"/>
      <c r="G278" s="152"/>
      <c r="H278" s="152"/>
      <c r="I278" s="152"/>
      <c r="J278" s="152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ht="14.25" customHeight="1">
      <c r="A279" s="147"/>
      <c r="B279" s="148"/>
      <c r="C279" s="149"/>
      <c r="D279" s="150"/>
      <c r="E279" s="150"/>
      <c r="F279" s="151"/>
      <c r="G279" s="152"/>
      <c r="H279" s="152"/>
      <c r="I279" s="152"/>
      <c r="J279" s="152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ht="14.25" customHeight="1">
      <c r="A280" s="147"/>
      <c r="B280" s="148"/>
      <c r="C280" s="149"/>
      <c r="D280" s="150"/>
      <c r="E280" s="150"/>
      <c r="F280" s="151"/>
      <c r="G280" s="152"/>
      <c r="H280" s="152"/>
      <c r="I280" s="152"/>
      <c r="J280" s="152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ht="14.25" customHeight="1">
      <c r="A281" s="147"/>
      <c r="B281" s="148"/>
      <c r="C281" s="149"/>
      <c r="D281" s="150"/>
      <c r="E281" s="150"/>
      <c r="F281" s="151"/>
      <c r="G281" s="152"/>
      <c r="H281" s="152"/>
      <c r="I281" s="152"/>
      <c r="J281" s="152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ht="14.25" customHeight="1">
      <c r="A282" s="147"/>
      <c r="B282" s="148"/>
      <c r="C282" s="149"/>
      <c r="D282" s="150"/>
      <c r="E282" s="150"/>
      <c r="F282" s="151"/>
      <c r="G282" s="152"/>
      <c r="H282" s="152"/>
      <c r="I282" s="152"/>
      <c r="J282" s="152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ht="14.25" customHeight="1">
      <c r="A283" s="147"/>
      <c r="B283" s="148"/>
      <c r="C283" s="149"/>
      <c r="D283" s="150"/>
      <c r="E283" s="150"/>
      <c r="F283" s="151"/>
      <c r="G283" s="152"/>
      <c r="H283" s="152"/>
      <c r="I283" s="152"/>
      <c r="J283" s="152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ht="14.25" customHeight="1">
      <c r="A284" s="147"/>
      <c r="B284" s="148"/>
      <c r="C284" s="149"/>
      <c r="D284" s="150"/>
      <c r="E284" s="150"/>
      <c r="F284" s="151"/>
      <c r="G284" s="152"/>
      <c r="H284" s="152"/>
      <c r="I284" s="152"/>
      <c r="J284" s="152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ht="14.25" customHeight="1">
      <c r="A285" s="147"/>
      <c r="B285" s="148"/>
      <c r="C285" s="149"/>
      <c r="D285" s="150"/>
      <c r="E285" s="150"/>
      <c r="F285" s="151"/>
      <c r="G285" s="152"/>
      <c r="H285" s="152"/>
      <c r="I285" s="152"/>
      <c r="J285" s="152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ht="14.25" customHeight="1">
      <c r="A286" s="147"/>
      <c r="B286" s="148"/>
      <c r="C286" s="149"/>
      <c r="D286" s="150"/>
      <c r="E286" s="150"/>
      <c r="F286" s="151"/>
      <c r="G286" s="152"/>
      <c r="H286" s="152"/>
      <c r="I286" s="152"/>
      <c r="J286" s="152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ht="14.25" customHeight="1">
      <c r="A287" s="147"/>
      <c r="B287" s="148"/>
      <c r="C287" s="149"/>
      <c r="D287" s="150"/>
      <c r="E287" s="150"/>
      <c r="F287" s="151"/>
      <c r="G287" s="152"/>
      <c r="H287" s="152"/>
      <c r="I287" s="152"/>
      <c r="J287" s="152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ht="14.25" customHeight="1">
      <c r="A288" s="147"/>
      <c r="B288" s="148"/>
      <c r="C288" s="149"/>
      <c r="D288" s="150"/>
      <c r="E288" s="150"/>
      <c r="F288" s="151"/>
      <c r="G288" s="152"/>
      <c r="H288" s="152"/>
      <c r="I288" s="152"/>
      <c r="J288" s="152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ht="14.25" customHeight="1">
      <c r="A289" s="147"/>
      <c r="B289" s="148"/>
      <c r="C289" s="149"/>
      <c r="D289" s="150"/>
      <c r="E289" s="150"/>
      <c r="F289" s="151"/>
      <c r="G289" s="152"/>
      <c r="H289" s="152"/>
      <c r="I289" s="152"/>
      <c r="J289" s="152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ht="14.25" customHeight="1">
      <c r="A290" s="147"/>
      <c r="B290" s="148"/>
      <c r="C290" s="149"/>
      <c r="D290" s="150"/>
      <c r="E290" s="150"/>
      <c r="F290" s="151"/>
      <c r="G290" s="152"/>
      <c r="H290" s="152"/>
      <c r="I290" s="152"/>
      <c r="J290" s="152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ht="14.25" customHeight="1">
      <c r="A291" s="147"/>
      <c r="B291" s="148"/>
      <c r="C291" s="149"/>
      <c r="D291" s="150"/>
      <c r="E291" s="150"/>
      <c r="F291" s="151"/>
      <c r="G291" s="152"/>
      <c r="H291" s="152"/>
      <c r="I291" s="152"/>
      <c r="J291" s="152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ht="14.25" customHeight="1">
      <c r="A292" s="147"/>
      <c r="B292" s="148"/>
      <c r="C292" s="149"/>
      <c r="D292" s="150"/>
      <c r="E292" s="150"/>
      <c r="F292" s="151"/>
      <c r="G292" s="152"/>
      <c r="H292" s="152"/>
      <c r="I292" s="152"/>
      <c r="J292" s="152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ht="14.25" customHeight="1">
      <c r="A293" s="147"/>
      <c r="B293" s="148"/>
      <c r="C293" s="149"/>
      <c r="D293" s="150"/>
      <c r="E293" s="150"/>
      <c r="F293" s="151"/>
      <c r="G293" s="152"/>
      <c r="H293" s="152"/>
      <c r="I293" s="152"/>
      <c r="J293" s="152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ht="14.25" customHeight="1">
      <c r="A294" s="147"/>
      <c r="B294" s="148"/>
      <c r="C294" s="149"/>
      <c r="D294" s="150"/>
      <c r="E294" s="150"/>
      <c r="F294" s="151"/>
      <c r="G294" s="152"/>
      <c r="H294" s="152"/>
      <c r="I294" s="152"/>
      <c r="J294" s="152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ht="14.25" customHeight="1">
      <c r="A295" s="147"/>
      <c r="B295" s="148"/>
      <c r="C295" s="149"/>
      <c r="D295" s="150"/>
      <c r="E295" s="150"/>
      <c r="F295" s="151"/>
      <c r="G295" s="152"/>
      <c r="H295" s="152"/>
      <c r="I295" s="152"/>
      <c r="J295" s="152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ht="14.25" customHeight="1">
      <c r="A296" s="147"/>
      <c r="B296" s="148"/>
      <c r="C296" s="149"/>
      <c r="D296" s="150"/>
      <c r="E296" s="150"/>
      <c r="F296" s="151"/>
      <c r="G296" s="152"/>
      <c r="H296" s="152"/>
      <c r="I296" s="152"/>
      <c r="J296" s="152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ht="14.25" customHeight="1">
      <c r="A297" s="147"/>
      <c r="B297" s="148"/>
      <c r="C297" s="149"/>
      <c r="D297" s="150"/>
      <c r="E297" s="150"/>
      <c r="F297" s="151"/>
      <c r="G297" s="152"/>
      <c r="H297" s="152"/>
      <c r="I297" s="152"/>
      <c r="J297" s="152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ht="14.25" customHeight="1">
      <c r="A298" s="147"/>
      <c r="B298" s="148"/>
      <c r="C298" s="149"/>
      <c r="D298" s="150"/>
      <c r="E298" s="150"/>
      <c r="F298" s="151"/>
      <c r="G298" s="152"/>
      <c r="H298" s="152"/>
      <c r="I298" s="152"/>
      <c r="J298" s="152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ht="14.25" customHeight="1">
      <c r="A299" s="147"/>
      <c r="B299" s="148"/>
      <c r="C299" s="149"/>
      <c r="D299" s="150"/>
      <c r="E299" s="150"/>
      <c r="F299" s="151"/>
      <c r="G299" s="152"/>
      <c r="H299" s="152"/>
      <c r="I299" s="152"/>
      <c r="J299" s="152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ht="14.25" customHeight="1">
      <c r="A300" s="147"/>
      <c r="B300" s="148"/>
      <c r="C300" s="149"/>
      <c r="D300" s="150"/>
      <c r="E300" s="150"/>
      <c r="F300" s="151"/>
      <c r="G300" s="152"/>
      <c r="H300" s="152"/>
      <c r="I300" s="152"/>
      <c r="J300" s="152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ht="14.25" customHeight="1">
      <c r="A301" s="147"/>
      <c r="B301" s="148"/>
      <c r="C301" s="149"/>
      <c r="D301" s="150"/>
      <c r="E301" s="150"/>
      <c r="F301" s="151"/>
      <c r="G301" s="152"/>
      <c r="H301" s="152"/>
      <c r="I301" s="152"/>
      <c r="J301" s="152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ht="14.25" customHeight="1">
      <c r="A302" s="147"/>
      <c r="B302" s="148"/>
      <c r="C302" s="149"/>
      <c r="D302" s="150"/>
      <c r="E302" s="150"/>
      <c r="F302" s="151"/>
      <c r="G302" s="152"/>
      <c r="H302" s="152"/>
      <c r="I302" s="152"/>
      <c r="J302" s="152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ht="14.25" customHeight="1">
      <c r="A303" s="147"/>
      <c r="B303" s="148"/>
      <c r="C303" s="149"/>
      <c r="D303" s="150"/>
      <c r="E303" s="150"/>
      <c r="F303" s="151"/>
      <c r="G303" s="152"/>
      <c r="H303" s="152"/>
      <c r="I303" s="152"/>
      <c r="J303" s="152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ht="14.25" customHeight="1">
      <c r="A304" s="147"/>
      <c r="B304" s="148"/>
      <c r="C304" s="149"/>
      <c r="D304" s="150"/>
      <c r="E304" s="150"/>
      <c r="F304" s="151"/>
      <c r="G304" s="152"/>
      <c r="H304" s="152"/>
      <c r="I304" s="152"/>
      <c r="J304" s="152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ht="14.25" customHeight="1">
      <c r="A305" s="147"/>
      <c r="B305" s="148"/>
      <c r="C305" s="149"/>
      <c r="D305" s="150"/>
      <c r="E305" s="150"/>
      <c r="F305" s="151"/>
      <c r="G305" s="152"/>
      <c r="H305" s="152"/>
      <c r="I305" s="152"/>
      <c r="J305" s="152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ht="14.25" customHeight="1">
      <c r="A306" s="147"/>
      <c r="B306" s="148"/>
      <c r="C306" s="149"/>
      <c r="D306" s="150"/>
      <c r="E306" s="150"/>
      <c r="F306" s="151"/>
      <c r="G306" s="152"/>
      <c r="H306" s="152"/>
      <c r="I306" s="152"/>
      <c r="J306" s="152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ht="14.25" customHeight="1">
      <c r="A307" s="147"/>
      <c r="B307" s="148"/>
      <c r="C307" s="149"/>
      <c r="D307" s="150"/>
      <c r="E307" s="150"/>
      <c r="F307" s="151"/>
      <c r="G307" s="152"/>
      <c r="H307" s="152"/>
      <c r="I307" s="152"/>
      <c r="J307" s="152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ht="14.25" customHeight="1">
      <c r="A308" s="147"/>
      <c r="B308" s="148"/>
      <c r="C308" s="149"/>
      <c r="D308" s="150"/>
      <c r="E308" s="150"/>
      <c r="F308" s="151"/>
      <c r="G308" s="152"/>
      <c r="H308" s="152"/>
      <c r="I308" s="152"/>
      <c r="J308" s="152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ht="14.25" customHeight="1">
      <c r="A309" s="147"/>
      <c r="B309" s="148"/>
      <c r="C309" s="149"/>
      <c r="D309" s="150"/>
      <c r="E309" s="150"/>
      <c r="F309" s="151"/>
      <c r="G309" s="152"/>
      <c r="H309" s="152"/>
      <c r="I309" s="152"/>
      <c r="J309" s="152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ht="14.25" customHeight="1">
      <c r="A310" s="147"/>
      <c r="B310" s="148"/>
      <c r="C310" s="149"/>
      <c r="D310" s="150"/>
      <c r="E310" s="150"/>
      <c r="F310" s="151"/>
      <c r="G310" s="152"/>
      <c r="H310" s="152"/>
      <c r="I310" s="152"/>
      <c r="J310" s="152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ht="14.25" customHeight="1">
      <c r="A311" s="147"/>
      <c r="B311" s="148"/>
      <c r="C311" s="149"/>
      <c r="D311" s="150"/>
      <c r="E311" s="150"/>
      <c r="F311" s="151"/>
      <c r="G311" s="152"/>
      <c r="H311" s="152"/>
      <c r="I311" s="152"/>
      <c r="J311" s="152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ht="14.25" customHeight="1">
      <c r="A312" s="147"/>
      <c r="B312" s="148"/>
      <c r="C312" s="149"/>
      <c r="D312" s="150"/>
      <c r="E312" s="150"/>
      <c r="F312" s="151"/>
      <c r="G312" s="152"/>
      <c r="H312" s="152"/>
      <c r="I312" s="152"/>
      <c r="J312" s="152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ht="14.25" customHeight="1">
      <c r="A313" s="147"/>
      <c r="B313" s="148"/>
      <c r="C313" s="149"/>
      <c r="D313" s="150"/>
      <c r="E313" s="150"/>
      <c r="F313" s="151"/>
      <c r="G313" s="152"/>
      <c r="H313" s="152"/>
      <c r="I313" s="152"/>
      <c r="J313" s="152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ht="14.25" customHeight="1">
      <c r="A314" s="147"/>
      <c r="B314" s="148"/>
      <c r="C314" s="149"/>
      <c r="D314" s="150"/>
      <c r="E314" s="150"/>
      <c r="F314" s="151"/>
      <c r="G314" s="152"/>
      <c r="H314" s="152"/>
      <c r="I314" s="152"/>
      <c r="J314" s="152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ht="14.25" customHeight="1">
      <c r="A315" s="147"/>
      <c r="B315" s="148"/>
      <c r="C315" s="149"/>
      <c r="D315" s="150"/>
      <c r="E315" s="150"/>
      <c r="F315" s="151"/>
      <c r="G315" s="152"/>
      <c r="H315" s="152"/>
      <c r="I315" s="152"/>
      <c r="J315" s="152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ht="14.25" customHeight="1">
      <c r="A316" s="147"/>
      <c r="B316" s="148"/>
      <c r="C316" s="149"/>
      <c r="D316" s="150"/>
      <c r="E316" s="150"/>
      <c r="F316" s="151"/>
      <c r="G316" s="152"/>
      <c r="H316" s="152"/>
      <c r="I316" s="152"/>
      <c r="J316" s="152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ht="14.25" customHeight="1">
      <c r="A317" s="147"/>
      <c r="B317" s="148"/>
      <c r="C317" s="149"/>
      <c r="D317" s="150"/>
      <c r="E317" s="150"/>
      <c r="F317" s="151"/>
      <c r="G317" s="152"/>
      <c r="H317" s="152"/>
      <c r="I317" s="152"/>
      <c r="J317" s="152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ht="14.25" customHeight="1">
      <c r="A318" s="147"/>
      <c r="B318" s="148"/>
      <c r="C318" s="149"/>
      <c r="D318" s="150"/>
      <c r="E318" s="150"/>
      <c r="F318" s="151"/>
      <c r="G318" s="152"/>
      <c r="H318" s="152"/>
      <c r="I318" s="152"/>
      <c r="J318" s="152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ht="14.25" customHeight="1">
      <c r="A319" s="147"/>
      <c r="B319" s="148"/>
      <c r="C319" s="149"/>
      <c r="D319" s="150"/>
      <c r="E319" s="150"/>
      <c r="F319" s="151"/>
      <c r="G319" s="152"/>
      <c r="H319" s="152"/>
      <c r="I319" s="152"/>
      <c r="J319" s="152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ht="14.25" customHeight="1">
      <c r="A320" s="147"/>
      <c r="B320" s="148"/>
      <c r="C320" s="149"/>
      <c r="D320" s="150"/>
      <c r="E320" s="150"/>
      <c r="F320" s="151"/>
      <c r="G320" s="152"/>
      <c r="H320" s="152"/>
      <c r="I320" s="152"/>
      <c r="J320" s="152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ht="14.25" customHeight="1">
      <c r="A321" s="147"/>
      <c r="B321" s="148"/>
      <c r="C321" s="149"/>
      <c r="D321" s="150"/>
      <c r="E321" s="150"/>
      <c r="F321" s="151"/>
      <c r="G321" s="152"/>
      <c r="H321" s="152"/>
      <c r="I321" s="152"/>
      <c r="J321" s="152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ht="14.25" customHeight="1">
      <c r="A322" s="147"/>
      <c r="B322" s="148"/>
      <c r="C322" s="149"/>
      <c r="D322" s="150"/>
      <c r="E322" s="150"/>
      <c r="F322" s="151"/>
      <c r="G322" s="152"/>
      <c r="H322" s="152"/>
      <c r="I322" s="152"/>
      <c r="J322" s="152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ht="14.25" customHeight="1">
      <c r="A323" s="147"/>
      <c r="B323" s="148"/>
      <c r="C323" s="149"/>
      <c r="D323" s="150"/>
      <c r="E323" s="150"/>
      <c r="F323" s="151"/>
      <c r="G323" s="152"/>
      <c r="H323" s="152"/>
      <c r="I323" s="152"/>
      <c r="J323" s="152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ht="14.25" customHeight="1">
      <c r="A324" s="147"/>
      <c r="B324" s="148"/>
      <c r="C324" s="149"/>
      <c r="D324" s="150"/>
      <c r="E324" s="150"/>
      <c r="F324" s="151"/>
      <c r="G324" s="152"/>
      <c r="H324" s="152"/>
      <c r="I324" s="152"/>
      <c r="J324" s="152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ht="14.25" customHeight="1">
      <c r="A325" s="147"/>
      <c r="B325" s="148"/>
      <c r="C325" s="149"/>
      <c r="D325" s="150"/>
      <c r="E325" s="150"/>
      <c r="F325" s="151"/>
      <c r="G325" s="152"/>
      <c r="H325" s="152"/>
      <c r="I325" s="152"/>
      <c r="J325" s="152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ht="14.25" customHeight="1">
      <c r="A326" s="147"/>
      <c r="B326" s="148"/>
      <c r="C326" s="149"/>
      <c r="D326" s="150"/>
      <c r="E326" s="150"/>
      <c r="F326" s="151"/>
      <c r="G326" s="152"/>
      <c r="H326" s="152"/>
      <c r="I326" s="152"/>
      <c r="J326" s="152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ht="14.25" customHeight="1">
      <c r="A327" s="147"/>
      <c r="B327" s="148"/>
      <c r="C327" s="149"/>
      <c r="D327" s="150"/>
      <c r="E327" s="150"/>
      <c r="F327" s="151"/>
      <c r="G327" s="152"/>
      <c r="H327" s="152"/>
      <c r="I327" s="152"/>
      <c r="J327" s="152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ht="14.25" customHeight="1">
      <c r="A328" s="147"/>
      <c r="B328" s="148"/>
      <c r="C328" s="149"/>
      <c r="D328" s="150"/>
      <c r="E328" s="150"/>
      <c r="F328" s="151"/>
      <c r="G328" s="152"/>
      <c r="H328" s="152"/>
      <c r="I328" s="152"/>
      <c r="J328" s="152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ht="14.25" customHeight="1">
      <c r="A329" s="147"/>
      <c r="B329" s="148"/>
      <c r="C329" s="149"/>
      <c r="D329" s="150"/>
      <c r="E329" s="150"/>
      <c r="F329" s="151"/>
      <c r="G329" s="152"/>
      <c r="H329" s="152"/>
      <c r="I329" s="152"/>
      <c r="J329" s="152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ht="14.25" customHeight="1">
      <c r="A330" s="147"/>
      <c r="B330" s="148"/>
      <c r="C330" s="149"/>
      <c r="D330" s="150"/>
      <c r="E330" s="150"/>
      <c r="F330" s="151"/>
      <c r="G330" s="152"/>
      <c r="H330" s="152"/>
      <c r="I330" s="152"/>
      <c r="J330" s="152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ht="14.25" customHeight="1">
      <c r="A331" s="147"/>
      <c r="B331" s="148"/>
      <c r="C331" s="149"/>
      <c r="D331" s="150"/>
      <c r="E331" s="150"/>
      <c r="F331" s="151"/>
      <c r="G331" s="152"/>
      <c r="H331" s="152"/>
      <c r="I331" s="152"/>
      <c r="J331" s="152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ht="14.25" customHeight="1">
      <c r="A332" s="147"/>
      <c r="B332" s="148"/>
      <c r="C332" s="149"/>
      <c r="D332" s="150"/>
      <c r="E332" s="150"/>
      <c r="F332" s="151"/>
      <c r="G332" s="152"/>
      <c r="H332" s="152"/>
      <c r="I332" s="152"/>
      <c r="J332" s="152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ht="14.25" customHeight="1">
      <c r="A333" s="147"/>
      <c r="B333" s="148"/>
      <c r="C333" s="149"/>
      <c r="D333" s="150"/>
      <c r="E333" s="150"/>
      <c r="F333" s="151"/>
      <c r="G333" s="152"/>
      <c r="H333" s="152"/>
      <c r="I333" s="152"/>
      <c r="J333" s="152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ht="14.25" customHeight="1">
      <c r="A334" s="147"/>
      <c r="B334" s="148"/>
      <c r="C334" s="149"/>
      <c r="D334" s="150"/>
      <c r="E334" s="150"/>
      <c r="F334" s="151"/>
      <c r="G334" s="152"/>
      <c r="H334" s="152"/>
      <c r="I334" s="152"/>
      <c r="J334" s="152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ht="14.25" customHeight="1">
      <c r="A335" s="147"/>
      <c r="B335" s="148"/>
      <c r="C335" s="149"/>
      <c r="D335" s="150"/>
      <c r="E335" s="150"/>
      <c r="F335" s="151"/>
      <c r="G335" s="152"/>
      <c r="H335" s="152"/>
      <c r="I335" s="152"/>
      <c r="J335" s="152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ht="14.25" customHeight="1">
      <c r="A336" s="147"/>
      <c r="B336" s="148"/>
      <c r="C336" s="149"/>
      <c r="D336" s="150"/>
      <c r="E336" s="150"/>
      <c r="F336" s="151"/>
      <c r="G336" s="152"/>
      <c r="H336" s="152"/>
      <c r="I336" s="152"/>
      <c r="J336" s="152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ht="14.25" customHeight="1">
      <c r="A337" s="147"/>
      <c r="B337" s="148"/>
      <c r="C337" s="149"/>
      <c r="D337" s="150"/>
      <c r="E337" s="150"/>
      <c r="F337" s="151"/>
      <c r="G337" s="152"/>
      <c r="H337" s="152"/>
      <c r="I337" s="152"/>
      <c r="J337" s="152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ht="14.25" customHeight="1">
      <c r="A338" s="147"/>
      <c r="B338" s="148"/>
      <c r="C338" s="149"/>
      <c r="D338" s="150"/>
      <c r="E338" s="150"/>
      <c r="F338" s="151"/>
      <c r="G338" s="152"/>
      <c r="H338" s="152"/>
      <c r="I338" s="152"/>
      <c r="J338" s="152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ht="14.25" customHeight="1">
      <c r="A339" s="147"/>
      <c r="B339" s="148"/>
      <c r="C339" s="149"/>
      <c r="D339" s="150"/>
      <c r="E339" s="150"/>
      <c r="F339" s="151"/>
      <c r="G339" s="152"/>
      <c r="H339" s="152"/>
      <c r="I339" s="152"/>
      <c r="J339" s="152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ht="14.25" customHeight="1">
      <c r="A340" s="147"/>
      <c r="B340" s="148"/>
      <c r="C340" s="149"/>
      <c r="D340" s="150"/>
      <c r="E340" s="150"/>
      <c r="F340" s="151"/>
      <c r="G340" s="152"/>
      <c r="H340" s="152"/>
      <c r="I340" s="152"/>
      <c r="J340" s="152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ht="14.25" customHeight="1">
      <c r="A341" s="147"/>
      <c r="B341" s="148"/>
      <c r="C341" s="149"/>
      <c r="D341" s="150"/>
      <c r="E341" s="150"/>
      <c r="F341" s="151"/>
      <c r="G341" s="152"/>
      <c r="H341" s="152"/>
      <c r="I341" s="152"/>
      <c r="J341" s="152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ht="14.25" customHeight="1">
      <c r="A342" s="147"/>
      <c r="B342" s="148"/>
      <c r="C342" s="149"/>
      <c r="D342" s="150"/>
      <c r="E342" s="150"/>
      <c r="F342" s="151"/>
      <c r="G342" s="152"/>
      <c r="H342" s="152"/>
      <c r="I342" s="152"/>
      <c r="J342" s="152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ht="14.25" customHeight="1">
      <c r="A343" s="147"/>
      <c r="B343" s="148"/>
      <c r="C343" s="149"/>
      <c r="D343" s="150"/>
      <c r="E343" s="150"/>
      <c r="F343" s="151"/>
      <c r="G343" s="152"/>
      <c r="H343" s="152"/>
      <c r="I343" s="152"/>
      <c r="J343" s="152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ht="14.25" customHeight="1">
      <c r="A344" s="147"/>
      <c r="B344" s="148"/>
      <c r="C344" s="149"/>
      <c r="D344" s="150"/>
      <c r="E344" s="150"/>
      <c r="F344" s="151"/>
      <c r="G344" s="152"/>
      <c r="H344" s="152"/>
      <c r="I344" s="152"/>
      <c r="J344" s="152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ht="14.25" customHeight="1">
      <c r="A345" s="147"/>
      <c r="B345" s="148"/>
      <c r="C345" s="149"/>
      <c r="D345" s="150"/>
      <c r="E345" s="150"/>
      <c r="F345" s="151"/>
      <c r="G345" s="152"/>
      <c r="H345" s="152"/>
      <c r="I345" s="152"/>
      <c r="J345" s="152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ht="14.25" customHeight="1">
      <c r="A346" s="147"/>
      <c r="B346" s="148"/>
      <c r="C346" s="149"/>
      <c r="D346" s="150"/>
      <c r="E346" s="150"/>
      <c r="F346" s="151"/>
      <c r="G346" s="152"/>
      <c r="H346" s="152"/>
      <c r="I346" s="152"/>
      <c r="J346" s="152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ht="14.25" customHeight="1">
      <c r="A347" s="147"/>
      <c r="B347" s="148"/>
      <c r="C347" s="149"/>
      <c r="D347" s="150"/>
      <c r="E347" s="150"/>
      <c r="F347" s="151"/>
      <c r="G347" s="152"/>
      <c r="H347" s="152"/>
      <c r="I347" s="152"/>
      <c r="J347" s="152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ht="14.25" customHeight="1">
      <c r="A348" s="147"/>
      <c r="B348" s="148"/>
      <c r="C348" s="149"/>
      <c r="D348" s="150"/>
      <c r="E348" s="150"/>
      <c r="F348" s="151"/>
      <c r="G348" s="152"/>
      <c r="H348" s="152"/>
      <c r="I348" s="152"/>
      <c r="J348" s="152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ht="14.25" customHeight="1">
      <c r="A349" s="147"/>
      <c r="B349" s="148"/>
      <c r="C349" s="149"/>
      <c r="D349" s="150"/>
      <c r="E349" s="150"/>
      <c r="F349" s="151"/>
      <c r="G349" s="152"/>
      <c r="H349" s="152"/>
      <c r="I349" s="152"/>
      <c r="J349" s="152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ht="14.25" customHeight="1">
      <c r="A350" s="147"/>
      <c r="B350" s="148"/>
      <c r="C350" s="149"/>
      <c r="D350" s="150"/>
      <c r="E350" s="150"/>
      <c r="F350" s="151"/>
      <c r="G350" s="152"/>
      <c r="H350" s="152"/>
      <c r="I350" s="152"/>
      <c r="J350" s="152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ht="14.25" customHeight="1">
      <c r="A351" s="147"/>
      <c r="B351" s="148"/>
      <c r="C351" s="149"/>
      <c r="D351" s="150"/>
      <c r="E351" s="150"/>
      <c r="F351" s="151"/>
      <c r="G351" s="152"/>
      <c r="H351" s="152"/>
      <c r="I351" s="152"/>
      <c r="J351" s="152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ht="14.25" customHeight="1">
      <c r="A352" s="147"/>
      <c r="B352" s="148"/>
      <c r="C352" s="149"/>
      <c r="D352" s="150"/>
      <c r="E352" s="150"/>
      <c r="F352" s="151"/>
      <c r="G352" s="152"/>
      <c r="H352" s="152"/>
      <c r="I352" s="152"/>
      <c r="J352" s="152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ht="14.25" customHeight="1">
      <c r="A353" s="147"/>
      <c r="B353" s="148"/>
      <c r="C353" s="149"/>
      <c r="D353" s="150"/>
      <c r="E353" s="150"/>
      <c r="F353" s="151"/>
      <c r="G353" s="152"/>
      <c r="H353" s="152"/>
      <c r="I353" s="152"/>
      <c r="J353" s="152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ht="14.25" customHeight="1">
      <c r="A354" s="147"/>
      <c r="B354" s="148"/>
      <c r="C354" s="149"/>
      <c r="D354" s="150"/>
      <c r="E354" s="150"/>
      <c r="F354" s="151"/>
      <c r="G354" s="152"/>
      <c r="H354" s="152"/>
      <c r="I354" s="152"/>
      <c r="J354" s="152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ht="14.25" customHeight="1">
      <c r="A355" s="147"/>
      <c r="B355" s="148"/>
      <c r="C355" s="149"/>
      <c r="D355" s="150"/>
      <c r="E355" s="150"/>
      <c r="F355" s="151"/>
      <c r="G355" s="152"/>
      <c r="H355" s="152"/>
      <c r="I355" s="152"/>
      <c r="J355" s="152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ht="14.25" customHeight="1">
      <c r="A356" s="147"/>
      <c r="B356" s="148"/>
      <c r="C356" s="149"/>
      <c r="D356" s="150"/>
      <c r="E356" s="150"/>
      <c r="F356" s="151"/>
      <c r="G356" s="152"/>
      <c r="H356" s="152"/>
      <c r="I356" s="152"/>
      <c r="J356" s="152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ht="14.25" customHeight="1">
      <c r="A357" s="147"/>
      <c r="B357" s="148"/>
      <c r="C357" s="149"/>
      <c r="D357" s="150"/>
      <c r="E357" s="150"/>
      <c r="F357" s="151"/>
      <c r="G357" s="152"/>
      <c r="H357" s="152"/>
      <c r="I357" s="152"/>
      <c r="J357" s="152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ht="14.25" customHeight="1">
      <c r="A358" s="147"/>
      <c r="B358" s="148"/>
      <c r="C358" s="149"/>
      <c r="D358" s="150"/>
      <c r="E358" s="150"/>
      <c r="F358" s="151"/>
      <c r="G358" s="152"/>
      <c r="H358" s="152"/>
      <c r="I358" s="152"/>
      <c r="J358" s="152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ht="14.25" customHeight="1">
      <c r="A359" s="147"/>
      <c r="B359" s="148"/>
      <c r="C359" s="149"/>
      <c r="D359" s="150"/>
      <c r="E359" s="150"/>
      <c r="F359" s="151"/>
      <c r="G359" s="152"/>
      <c r="H359" s="152"/>
      <c r="I359" s="152"/>
      <c r="J359" s="152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ht="14.25" customHeight="1">
      <c r="A360" s="147"/>
      <c r="B360" s="148"/>
      <c r="C360" s="149"/>
      <c r="D360" s="150"/>
      <c r="E360" s="150"/>
      <c r="F360" s="151"/>
      <c r="G360" s="152"/>
      <c r="H360" s="152"/>
      <c r="I360" s="152"/>
      <c r="J360" s="152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ht="14.25" customHeight="1">
      <c r="A361" s="147"/>
      <c r="B361" s="148"/>
      <c r="C361" s="149"/>
      <c r="D361" s="150"/>
      <c r="E361" s="150"/>
      <c r="F361" s="151"/>
      <c r="G361" s="152"/>
      <c r="H361" s="152"/>
      <c r="I361" s="152"/>
      <c r="J361" s="152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ht="14.25" customHeight="1">
      <c r="A362" s="147"/>
      <c r="B362" s="148"/>
      <c r="C362" s="149"/>
      <c r="D362" s="150"/>
      <c r="E362" s="150"/>
      <c r="F362" s="151"/>
      <c r="G362" s="152"/>
      <c r="H362" s="152"/>
      <c r="I362" s="152"/>
      <c r="J362" s="152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ht="14.25" customHeight="1">
      <c r="A363" s="147"/>
      <c r="B363" s="148"/>
      <c r="C363" s="149"/>
      <c r="D363" s="150"/>
      <c r="E363" s="150"/>
      <c r="F363" s="151"/>
      <c r="G363" s="152"/>
      <c r="H363" s="152"/>
      <c r="I363" s="152"/>
      <c r="J363" s="152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ht="14.25" customHeight="1">
      <c r="A364" s="147"/>
      <c r="B364" s="148"/>
      <c r="C364" s="149"/>
      <c r="D364" s="150"/>
      <c r="E364" s="150"/>
      <c r="F364" s="151"/>
      <c r="G364" s="152"/>
      <c r="H364" s="152"/>
      <c r="I364" s="152"/>
      <c r="J364" s="152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ht="14.25" customHeight="1">
      <c r="A365" s="147"/>
      <c r="B365" s="148"/>
      <c r="C365" s="149"/>
      <c r="D365" s="150"/>
      <c r="E365" s="150"/>
      <c r="F365" s="151"/>
      <c r="G365" s="152"/>
      <c r="H365" s="152"/>
      <c r="I365" s="152"/>
      <c r="J365" s="152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ht="14.25" customHeight="1">
      <c r="A366" s="147"/>
      <c r="B366" s="148"/>
      <c r="C366" s="149"/>
      <c r="D366" s="150"/>
      <c r="E366" s="150"/>
      <c r="F366" s="151"/>
      <c r="G366" s="152"/>
      <c r="H366" s="152"/>
      <c r="I366" s="152"/>
      <c r="J366" s="152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ht="14.25" customHeight="1">
      <c r="A367" s="147"/>
      <c r="B367" s="148"/>
      <c r="C367" s="149"/>
      <c r="D367" s="150"/>
      <c r="E367" s="150"/>
      <c r="F367" s="151"/>
      <c r="G367" s="152"/>
      <c r="H367" s="152"/>
      <c r="I367" s="152"/>
      <c r="J367" s="152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ht="14.25" customHeight="1">
      <c r="A368" s="147"/>
      <c r="B368" s="148"/>
      <c r="C368" s="149"/>
      <c r="D368" s="150"/>
      <c r="E368" s="150"/>
      <c r="F368" s="151"/>
      <c r="G368" s="152"/>
      <c r="H368" s="152"/>
      <c r="I368" s="152"/>
      <c r="J368" s="152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ht="14.25" customHeight="1">
      <c r="A369" s="147"/>
      <c r="B369" s="148"/>
      <c r="C369" s="149"/>
      <c r="D369" s="150"/>
      <c r="E369" s="150"/>
      <c r="F369" s="151"/>
      <c r="G369" s="152"/>
      <c r="H369" s="152"/>
      <c r="I369" s="152"/>
      <c r="J369" s="152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ht="14.25" customHeight="1">
      <c r="A370" s="147"/>
      <c r="B370" s="148"/>
      <c r="C370" s="149"/>
      <c r="D370" s="150"/>
      <c r="E370" s="150"/>
      <c r="F370" s="151"/>
      <c r="G370" s="152"/>
      <c r="H370" s="152"/>
      <c r="I370" s="152"/>
      <c r="J370" s="152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ht="14.25" customHeight="1">
      <c r="A371" s="147"/>
      <c r="B371" s="148"/>
      <c r="C371" s="149"/>
      <c r="D371" s="150"/>
      <c r="E371" s="150"/>
      <c r="F371" s="151"/>
      <c r="G371" s="152"/>
      <c r="H371" s="152"/>
      <c r="I371" s="152"/>
      <c r="J371" s="152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</sheetData>
  <autoFilter ref="$B$5:$J$167"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.0"/>
    <col customWidth="1" min="3" max="4" width="8.71"/>
    <col customWidth="1" min="5" max="5" width="41.57"/>
    <col customWidth="1" min="6" max="7" width="13.14"/>
    <col customWidth="1" min="8" max="8" width="14.14"/>
    <col customWidth="1" min="9" max="10" width="15.29"/>
    <col customWidth="1" min="11" max="12" width="13.0"/>
    <col customWidth="1" min="13" max="14" width="12.43"/>
    <col customWidth="1" min="15" max="16" width="14.57"/>
    <col customWidth="1" min="17" max="31" width="8.71"/>
  </cols>
  <sheetData>
    <row r="1" ht="14.25" customHeight="1">
      <c r="A1" s="147"/>
      <c r="B1" s="148"/>
      <c r="C1" s="149"/>
      <c r="D1" s="150"/>
      <c r="E1" s="150"/>
      <c r="F1" s="151"/>
      <c r="G1" s="151"/>
      <c r="H1" s="152"/>
      <c r="I1" s="152"/>
      <c r="J1" s="152"/>
      <c r="K1" s="152"/>
      <c r="L1" s="152"/>
      <c r="M1" s="152"/>
      <c r="N1" s="152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ht="14.25" customHeight="1">
      <c r="A2" s="147"/>
      <c r="B2" s="148"/>
      <c r="C2" s="149"/>
      <c r="D2" s="150"/>
      <c r="E2" s="150"/>
      <c r="F2" s="151"/>
      <c r="G2" s="151"/>
      <c r="H2" s="174" t="s">
        <v>352</v>
      </c>
      <c r="I2" s="152"/>
      <c r="J2" s="152"/>
      <c r="K2" s="152"/>
      <c r="L2" s="152"/>
      <c r="M2" s="152"/>
      <c r="N2" s="152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</row>
    <row r="3" ht="14.25" customHeight="1">
      <c r="A3" s="175"/>
      <c r="B3" s="153" t="s">
        <v>296</v>
      </c>
      <c r="C3" s="153" t="s">
        <v>330</v>
      </c>
      <c r="D3" s="153" t="s">
        <v>11</v>
      </c>
      <c r="E3" s="153" t="s">
        <v>12</v>
      </c>
      <c r="F3" s="176" t="s">
        <v>331</v>
      </c>
      <c r="G3" s="177" t="s">
        <v>353</v>
      </c>
      <c r="H3" s="178" t="s">
        <v>332</v>
      </c>
      <c r="I3" s="178" t="s">
        <v>333</v>
      </c>
      <c r="J3" s="177" t="s">
        <v>353</v>
      </c>
      <c r="K3" s="178" t="s">
        <v>334</v>
      </c>
      <c r="L3" s="177" t="s">
        <v>353</v>
      </c>
      <c r="M3" s="178" t="s">
        <v>335</v>
      </c>
      <c r="N3" s="177" t="s">
        <v>353</v>
      </c>
      <c r="O3" s="178" t="s">
        <v>336</v>
      </c>
      <c r="P3" s="177" t="s">
        <v>353</v>
      </c>
      <c r="Q3" s="179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</row>
    <row r="4" ht="14.25" customHeight="1">
      <c r="A4" s="147"/>
      <c r="B4" s="153"/>
      <c r="C4" s="158"/>
      <c r="D4" s="154"/>
      <c r="E4" s="154"/>
      <c r="F4" s="159" t="s">
        <v>337</v>
      </c>
      <c r="G4" s="159" t="s">
        <v>337</v>
      </c>
      <c r="H4" s="160" t="s">
        <v>338</v>
      </c>
      <c r="I4" s="161" t="s">
        <v>339</v>
      </c>
      <c r="J4" s="161" t="s">
        <v>339</v>
      </c>
      <c r="K4" s="162" t="s">
        <v>340</v>
      </c>
      <c r="L4" s="162" t="s">
        <v>340</v>
      </c>
      <c r="M4" s="163" t="s">
        <v>341</v>
      </c>
      <c r="N4" s="163" t="s">
        <v>341</v>
      </c>
      <c r="O4" s="160" t="s">
        <v>342</v>
      </c>
      <c r="P4" s="160" t="s">
        <v>354</v>
      </c>
      <c r="Q4" s="164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</row>
    <row r="5" ht="24.0" customHeight="1">
      <c r="A5" s="148"/>
      <c r="B5" s="153"/>
      <c r="C5" s="158"/>
      <c r="D5" s="153"/>
      <c r="E5" s="153"/>
      <c r="F5" s="165" t="s">
        <v>343</v>
      </c>
      <c r="G5" s="165" t="s">
        <v>343</v>
      </c>
      <c r="H5" s="166" t="s">
        <v>344</v>
      </c>
      <c r="I5" s="166" t="s">
        <v>345</v>
      </c>
      <c r="J5" s="166" t="s">
        <v>345</v>
      </c>
      <c r="K5" s="166" t="s">
        <v>346</v>
      </c>
      <c r="L5" s="166" t="s">
        <v>346</v>
      </c>
      <c r="M5" s="166" t="s">
        <v>347</v>
      </c>
      <c r="N5" s="166" t="s">
        <v>347</v>
      </c>
      <c r="O5" s="166" t="s">
        <v>348</v>
      </c>
      <c r="P5" s="166" t="s">
        <v>348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</row>
    <row r="6" ht="24.0" customHeight="1">
      <c r="A6" s="148"/>
      <c r="B6" s="153"/>
      <c r="C6" s="158"/>
      <c r="D6" s="153"/>
      <c r="E6" s="153"/>
      <c r="F6" s="165"/>
      <c r="G6" s="165"/>
      <c r="H6" s="166"/>
      <c r="I6" s="166"/>
      <c r="J6" s="166"/>
      <c r="K6" s="166"/>
      <c r="L6" s="166"/>
      <c r="M6" s="166"/>
      <c r="N6" s="166"/>
      <c r="O6" s="166"/>
      <c r="P6" s="166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</row>
    <row r="7" ht="14.25" customHeight="1">
      <c r="A7" s="147"/>
      <c r="B7" s="67">
        <v>1.0</v>
      </c>
      <c r="C7" s="167">
        <v>2022.0</v>
      </c>
      <c r="D7" s="168" t="s">
        <v>15</v>
      </c>
      <c r="E7" s="169" t="s">
        <v>16</v>
      </c>
      <c r="F7" s="170">
        <v>0.7968471641377171</v>
      </c>
      <c r="G7" s="170">
        <v>0.7968471641377171</v>
      </c>
      <c r="H7" s="171">
        <v>3.0</v>
      </c>
      <c r="I7" s="170">
        <v>0.5</v>
      </c>
      <c r="J7" s="170">
        <v>0.5</v>
      </c>
      <c r="K7" s="170">
        <v>0.0</v>
      </c>
      <c r="L7" s="170">
        <v>0.0</v>
      </c>
      <c r="M7" s="170">
        <v>0.0</v>
      </c>
      <c r="N7" s="170">
        <v>0.0</v>
      </c>
      <c r="O7" s="170">
        <v>0.26228131491393386</v>
      </c>
      <c r="P7" s="170">
        <v>0.26228131491393386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</row>
    <row r="8" ht="14.25" customHeight="1">
      <c r="A8" s="147"/>
      <c r="B8" s="67">
        <v>2.0</v>
      </c>
      <c r="C8" s="167"/>
      <c r="D8" s="168" t="s">
        <v>98</v>
      </c>
      <c r="E8" s="169" t="s">
        <v>99</v>
      </c>
      <c r="F8" s="170">
        <v>0.9152392638848016</v>
      </c>
      <c r="G8" s="170">
        <v>0.9152392638848016</v>
      </c>
      <c r="H8" s="171">
        <v>3.0</v>
      </c>
      <c r="I8" s="170">
        <v>0.3333333333333333</v>
      </c>
      <c r="J8" s="170">
        <v>0.3333333333333333</v>
      </c>
      <c r="K8" s="180">
        <v>0.0</v>
      </c>
      <c r="L8" s="180">
        <v>0.0</v>
      </c>
      <c r="M8" s="170">
        <v>6.780847090541939E-6</v>
      </c>
      <c r="N8" s="170">
        <v>6.780847090541939E-6</v>
      </c>
      <c r="O8" s="170">
        <v>0.21394419221723512</v>
      </c>
      <c r="P8" s="170">
        <v>0.21394419221723512</v>
      </c>
      <c r="Q8" s="55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</row>
    <row r="9" ht="14.25" customHeight="1">
      <c r="A9" s="147"/>
      <c r="B9" s="67">
        <v>3.0</v>
      </c>
      <c r="C9" s="167"/>
      <c r="D9" s="168" t="s">
        <v>78</v>
      </c>
      <c r="E9" s="169" t="s">
        <v>79</v>
      </c>
      <c r="F9" s="170">
        <v>0.5318543306204202</v>
      </c>
      <c r="G9" s="170">
        <v>0.5318543306204202</v>
      </c>
      <c r="H9" s="171">
        <v>3.0</v>
      </c>
      <c r="I9" s="170">
        <v>0.6</v>
      </c>
      <c r="J9" s="170">
        <v>0.6</v>
      </c>
      <c r="K9" s="170">
        <v>0.0</v>
      </c>
      <c r="L9" s="170">
        <v>0.0</v>
      </c>
      <c r="M9" s="170">
        <v>0.015684491645567417</v>
      </c>
      <c r="N9" s="170">
        <v>0.015684491645567417</v>
      </c>
      <c r="O9" s="170">
        <v>0.1848469309510599</v>
      </c>
      <c r="P9" s="170">
        <v>0.1848469309510599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</row>
    <row r="10" ht="14.25" customHeight="1">
      <c r="A10" s="147"/>
      <c r="B10" s="67">
        <v>4.0</v>
      </c>
      <c r="C10" s="167"/>
      <c r="D10" s="168" t="s">
        <v>104</v>
      </c>
      <c r="E10" s="169" t="s">
        <v>105</v>
      </c>
      <c r="F10" s="170">
        <v>0.8169222011373884</v>
      </c>
      <c r="G10" s="170">
        <v>0.8169222011373884</v>
      </c>
      <c r="H10" s="171">
        <v>3.0</v>
      </c>
      <c r="I10" s="170">
        <v>0.375</v>
      </c>
      <c r="J10" s="170">
        <v>0.375</v>
      </c>
      <c r="K10" s="170">
        <v>0.2</v>
      </c>
      <c r="L10" s="170">
        <v>0.2</v>
      </c>
      <c r="M10" s="170">
        <v>0.09894075438923439</v>
      </c>
      <c r="N10" s="170">
        <v>0.09894075438923439</v>
      </c>
      <c r="O10" s="181">
        <v>0.3869420462514994</v>
      </c>
      <c r="P10" s="181">
        <v>0.3869420462514994</v>
      </c>
      <c r="Q10" s="55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</row>
    <row r="11" ht="14.25" customHeight="1">
      <c r="A11" s="147"/>
      <c r="B11" s="67">
        <v>5.0</v>
      </c>
      <c r="C11" s="167"/>
      <c r="D11" s="168" t="s">
        <v>18</v>
      </c>
      <c r="E11" s="169" t="s">
        <v>19</v>
      </c>
      <c r="F11" s="170">
        <v>0.5414375</v>
      </c>
      <c r="G11" s="170">
        <v>0.5414375</v>
      </c>
      <c r="H11" s="171">
        <v>3.0</v>
      </c>
      <c r="I11" s="170">
        <v>0.3333333333333333</v>
      </c>
      <c r="J11" s="170">
        <v>0.3333333333333333</v>
      </c>
      <c r="K11" s="170">
        <v>0.0</v>
      </c>
      <c r="L11" s="170">
        <v>0.0</v>
      </c>
      <c r="M11" s="170">
        <v>9.163E-4</v>
      </c>
      <c r="N11" s="170">
        <v>9.163E-4</v>
      </c>
      <c r="O11" s="170">
        <v>0.19481752543687408</v>
      </c>
      <c r="P11" s="170">
        <v>0.19481752543687408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</row>
    <row r="12" ht="14.25" customHeight="1">
      <c r="A12" s="147"/>
      <c r="B12" s="67">
        <v>6.0</v>
      </c>
      <c r="C12" s="167"/>
      <c r="D12" s="168" t="s">
        <v>108</v>
      </c>
      <c r="E12" s="169" t="s">
        <v>109</v>
      </c>
      <c r="F12" s="180">
        <v>0.0019055734919286322</v>
      </c>
      <c r="G12" s="180">
        <v>0.0019055734919286322</v>
      </c>
      <c r="H12" s="171">
        <v>3.0</v>
      </c>
      <c r="I12" s="170">
        <v>0.5</v>
      </c>
      <c r="J12" s="170">
        <v>0.5</v>
      </c>
      <c r="K12" s="170">
        <v>0.0</v>
      </c>
      <c r="L12" s="170">
        <v>0.0</v>
      </c>
      <c r="M12" s="170">
        <v>0.008623619371282922</v>
      </c>
      <c r="N12" s="170">
        <v>0.008623619371282922</v>
      </c>
      <c r="O12" s="170">
        <v>0.21217634719685716</v>
      </c>
      <c r="P12" s="170">
        <v>0.21217634719685716</v>
      </c>
      <c r="Q12" s="55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</row>
    <row r="13" ht="14.25" customHeight="1">
      <c r="A13" s="147"/>
      <c r="B13" s="67">
        <v>7.0</v>
      </c>
      <c r="C13" s="167"/>
      <c r="D13" s="168" t="s">
        <v>222</v>
      </c>
      <c r="E13" s="169" t="s">
        <v>223</v>
      </c>
      <c r="F13" s="170">
        <v>0.8702033613445378</v>
      </c>
      <c r="G13" s="170">
        <v>0.8702033613445378</v>
      </c>
      <c r="H13" s="171">
        <v>3.0</v>
      </c>
      <c r="I13" s="170">
        <v>0.3333333333333333</v>
      </c>
      <c r="J13" s="170">
        <v>0.3333333333333333</v>
      </c>
      <c r="K13" s="170">
        <v>0.3333333333333333</v>
      </c>
      <c r="L13" s="170">
        <v>0.3333333333333333</v>
      </c>
      <c r="M13" s="180">
        <v>0.0</v>
      </c>
      <c r="N13" s="180">
        <v>0.0</v>
      </c>
      <c r="O13" s="170">
        <v>0.22053597059476188</v>
      </c>
      <c r="P13" s="170">
        <v>0.22053597059476188</v>
      </c>
      <c r="Q13" s="55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</row>
    <row r="14" ht="14.25" customHeight="1">
      <c r="A14" s="147"/>
      <c r="B14" s="67">
        <v>8.0</v>
      </c>
      <c r="C14" s="167"/>
      <c r="D14" s="168" t="s">
        <v>74</v>
      </c>
      <c r="E14" s="169" t="s">
        <v>75</v>
      </c>
      <c r="F14" s="170">
        <v>0.7688</v>
      </c>
      <c r="G14" s="170">
        <v>0.7688</v>
      </c>
      <c r="H14" s="171">
        <v>3.0</v>
      </c>
      <c r="I14" s="170">
        <v>0.3333333333333333</v>
      </c>
      <c r="J14" s="170">
        <v>0.3333333333333333</v>
      </c>
      <c r="K14" s="170">
        <v>0.3333333333333333</v>
      </c>
      <c r="L14" s="170">
        <v>0.3333333333333333</v>
      </c>
      <c r="M14" s="170">
        <v>0.00878442382331567</v>
      </c>
      <c r="N14" s="170">
        <v>0.00878442382331567</v>
      </c>
      <c r="O14" s="170">
        <v>0.2140321000609366</v>
      </c>
      <c r="P14" s="170">
        <v>0.2140321000609366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</row>
    <row r="15" ht="14.25" customHeight="1">
      <c r="A15" s="147"/>
      <c r="B15" s="67">
        <v>9.0</v>
      </c>
      <c r="C15" s="167"/>
      <c r="D15" s="168" t="s">
        <v>28</v>
      </c>
      <c r="E15" s="169" t="s">
        <v>29</v>
      </c>
      <c r="F15" s="180">
        <v>0.0019055734919286322</v>
      </c>
      <c r="G15" s="182">
        <v>0.1893169456171091</v>
      </c>
      <c r="H15" s="171">
        <v>3.0</v>
      </c>
      <c r="I15" s="170">
        <v>0.3333333333333333</v>
      </c>
      <c r="J15" s="170">
        <v>0.3333333333333333</v>
      </c>
      <c r="K15" s="170">
        <v>0.0</v>
      </c>
      <c r="L15" s="170">
        <v>0.0</v>
      </c>
      <c r="M15" s="181">
        <v>0.7650503492073975</v>
      </c>
      <c r="N15" s="181">
        <v>0.7650503492073975</v>
      </c>
      <c r="O15" s="170">
        <v>0.21011834275457844</v>
      </c>
      <c r="P15" s="170">
        <v>0.21011834275457844</v>
      </c>
      <c r="Q15" s="55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</row>
    <row r="16" ht="14.25" customHeight="1">
      <c r="A16" s="147"/>
      <c r="B16" s="67">
        <v>10.0</v>
      </c>
      <c r="C16" s="167"/>
      <c r="D16" s="168" t="s">
        <v>24</v>
      </c>
      <c r="E16" s="169" t="s">
        <v>25</v>
      </c>
      <c r="F16" s="181">
        <v>0.9928911022075863</v>
      </c>
      <c r="G16" s="181">
        <v>0.9928911022075863</v>
      </c>
      <c r="H16" s="171">
        <v>3.0</v>
      </c>
      <c r="I16" s="180">
        <v>0.3333333333333333</v>
      </c>
      <c r="J16" s="180">
        <v>0.3333333333333333</v>
      </c>
      <c r="K16" s="170">
        <v>0.16666666666666666</v>
      </c>
      <c r="L16" s="170">
        <v>0.16666666666666666</v>
      </c>
      <c r="M16" s="180">
        <v>0.0</v>
      </c>
      <c r="N16" s="180">
        <v>0.0</v>
      </c>
      <c r="O16" s="180">
        <v>0.1714180790960452</v>
      </c>
      <c r="P16" s="180">
        <v>0.1714180790960452</v>
      </c>
      <c r="Q16" s="55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</row>
    <row r="17" ht="14.25" customHeight="1">
      <c r="A17" s="147"/>
      <c r="B17" s="67">
        <v>11.0</v>
      </c>
      <c r="C17" s="167"/>
      <c r="D17" s="168" t="s">
        <v>110</v>
      </c>
      <c r="E17" s="169" t="s">
        <v>111</v>
      </c>
      <c r="F17" s="170">
        <v>0.8056326628833994</v>
      </c>
      <c r="G17" s="170">
        <v>0.8056326628833994</v>
      </c>
      <c r="H17" s="171">
        <v>3.0</v>
      </c>
      <c r="I17" s="170">
        <v>0.3333333333333333</v>
      </c>
      <c r="J17" s="170">
        <v>0.3333333333333333</v>
      </c>
      <c r="K17" s="170">
        <v>0.0</v>
      </c>
      <c r="L17" s="170">
        <v>0.0</v>
      </c>
      <c r="M17" s="170">
        <v>1.9052788337479195E-4</v>
      </c>
      <c r="N17" s="170">
        <v>1.9052788337479195E-4</v>
      </c>
      <c r="O17" s="170">
        <v>0.21545106874857084</v>
      </c>
      <c r="P17" s="170">
        <v>0.21545106874857084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</row>
    <row r="18" ht="14.25" customHeight="1">
      <c r="A18" s="147"/>
      <c r="B18" s="67">
        <v>12.0</v>
      </c>
      <c r="C18" s="167"/>
      <c r="D18" s="168" t="s">
        <v>26</v>
      </c>
      <c r="E18" s="169" t="s">
        <v>27</v>
      </c>
      <c r="F18" s="170">
        <v>0.9118223912195121</v>
      </c>
      <c r="G18" s="170">
        <v>0.9118223912195121</v>
      </c>
      <c r="H18" s="171">
        <v>3.0</v>
      </c>
      <c r="I18" s="170">
        <v>0.3333333333333333</v>
      </c>
      <c r="J18" s="170">
        <v>0.3333333333333333</v>
      </c>
      <c r="K18" s="180">
        <v>0.0</v>
      </c>
      <c r="L18" s="180">
        <v>0.0</v>
      </c>
      <c r="M18" s="180">
        <v>0.0</v>
      </c>
      <c r="N18" s="180">
        <v>0.0</v>
      </c>
      <c r="O18" s="170">
        <v>0.23545600797937674</v>
      </c>
      <c r="P18" s="170">
        <v>0.23545600797937674</v>
      </c>
      <c r="Q18" s="55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</row>
    <row r="19" ht="14.25" customHeight="1">
      <c r="A19" s="147"/>
      <c r="B19" s="67">
        <v>13.0</v>
      </c>
      <c r="C19" s="167"/>
      <c r="D19" s="168" t="s">
        <v>30</v>
      </c>
      <c r="E19" s="169" t="s">
        <v>31</v>
      </c>
      <c r="F19" s="170">
        <v>0.6694558064384584</v>
      </c>
      <c r="G19" s="170">
        <v>0.6694558064384584</v>
      </c>
      <c r="H19" s="171">
        <v>3.0</v>
      </c>
      <c r="I19" s="170">
        <v>0.4</v>
      </c>
      <c r="J19" s="170">
        <v>0.4</v>
      </c>
      <c r="K19" s="170">
        <v>0.0</v>
      </c>
      <c r="L19" s="170">
        <v>0.0</v>
      </c>
      <c r="M19" s="170">
        <v>0.0</v>
      </c>
      <c r="N19" s="170">
        <v>0.0</v>
      </c>
      <c r="O19" s="170">
        <v>0.21802620943031287</v>
      </c>
      <c r="P19" s="170">
        <v>0.21802620943031287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</row>
    <row r="20" ht="14.25" customHeight="1">
      <c r="A20" s="147"/>
      <c r="B20" s="67">
        <v>14.0</v>
      </c>
      <c r="C20" s="167"/>
      <c r="D20" s="168" t="s">
        <v>120</v>
      </c>
      <c r="E20" s="169" t="s">
        <v>121</v>
      </c>
      <c r="F20" s="170">
        <v>0.2061426656931787</v>
      </c>
      <c r="G20" s="170">
        <v>0.2061426656931787</v>
      </c>
      <c r="H20" s="171">
        <v>3.0</v>
      </c>
      <c r="I20" s="170">
        <v>0.6</v>
      </c>
      <c r="J20" s="170">
        <v>0.6</v>
      </c>
      <c r="K20" s="170">
        <v>0.0</v>
      </c>
      <c r="L20" s="170">
        <v>0.0</v>
      </c>
      <c r="M20" s="170">
        <v>0.39634833089873334</v>
      </c>
      <c r="N20" s="170">
        <v>0.39634833089873334</v>
      </c>
      <c r="O20" s="170">
        <v>0.2339130870633051</v>
      </c>
      <c r="P20" s="170">
        <v>0.2339130870633051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</row>
    <row r="21" ht="14.25" customHeight="1">
      <c r="A21" s="147"/>
      <c r="B21" s="67">
        <v>15.0</v>
      </c>
      <c r="C21" s="167"/>
      <c r="D21" s="168" t="s">
        <v>118</v>
      </c>
      <c r="E21" s="169" t="s">
        <v>119</v>
      </c>
      <c r="F21" s="170">
        <v>0.6929469874438349</v>
      </c>
      <c r="G21" s="170">
        <v>0.6929469874438349</v>
      </c>
      <c r="H21" s="171">
        <v>3.0</v>
      </c>
      <c r="I21" s="170">
        <v>0.4</v>
      </c>
      <c r="J21" s="170">
        <v>0.4</v>
      </c>
      <c r="K21" s="170">
        <v>0.25</v>
      </c>
      <c r="L21" s="170">
        <v>0.25</v>
      </c>
      <c r="M21" s="170">
        <v>0.0</v>
      </c>
      <c r="N21" s="170">
        <v>0.0</v>
      </c>
      <c r="O21" s="180">
        <v>0.17006748067342814</v>
      </c>
      <c r="P21" s="180">
        <v>0.17006748067342814</v>
      </c>
      <c r="Q21" s="55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ht="14.25" customHeight="1">
      <c r="A22" s="147"/>
      <c r="B22" s="67">
        <v>16.0</v>
      </c>
      <c r="C22" s="167"/>
      <c r="D22" s="168" t="s">
        <v>32</v>
      </c>
      <c r="E22" s="169" t="s">
        <v>33</v>
      </c>
      <c r="F22" s="170">
        <v>0.755938630747944</v>
      </c>
      <c r="G22" s="170">
        <v>0.755938630747944</v>
      </c>
      <c r="H22" s="171">
        <v>3.0</v>
      </c>
      <c r="I22" s="170">
        <v>0.3333333333333333</v>
      </c>
      <c r="J22" s="170">
        <v>0.3333333333333333</v>
      </c>
      <c r="K22" s="170">
        <v>0.3333333333333333</v>
      </c>
      <c r="L22" s="170">
        <v>0.3333333333333333</v>
      </c>
      <c r="M22" s="170">
        <v>0.09176716627409479</v>
      </c>
      <c r="N22" s="170">
        <v>0.09176716627409479</v>
      </c>
      <c r="O22" s="170">
        <v>0.25067319659079335</v>
      </c>
      <c r="P22" s="170">
        <v>0.25067319659079335</v>
      </c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</row>
    <row r="23" ht="14.25" customHeight="1">
      <c r="A23" s="147"/>
      <c r="B23" s="67">
        <v>17.0</v>
      </c>
      <c r="C23" s="167"/>
      <c r="D23" s="168" t="s">
        <v>126</v>
      </c>
      <c r="E23" s="169" t="s">
        <v>127</v>
      </c>
      <c r="F23" s="170">
        <v>0.9793414809646169</v>
      </c>
      <c r="G23" s="170">
        <v>0.9793414809646169</v>
      </c>
      <c r="H23" s="171">
        <v>3.0</v>
      </c>
      <c r="I23" s="170">
        <v>0.3333333333333333</v>
      </c>
      <c r="J23" s="170">
        <v>0.3333333333333333</v>
      </c>
      <c r="K23" s="180">
        <v>0.0</v>
      </c>
      <c r="L23" s="180">
        <v>0.0</v>
      </c>
      <c r="M23" s="170">
        <v>0.0017122496898812688</v>
      </c>
      <c r="N23" s="170">
        <v>0.0017122496898812688</v>
      </c>
      <c r="O23" s="170">
        <v>0.23158417918342408</v>
      </c>
      <c r="P23" s="170">
        <v>0.23158417918342408</v>
      </c>
      <c r="Q23" s="55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</row>
    <row r="24" ht="14.25" customHeight="1">
      <c r="A24" s="147"/>
      <c r="B24" s="67">
        <v>18.0</v>
      </c>
      <c r="C24" s="167"/>
      <c r="D24" s="168" t="s">
        <v>134</v>
      </c>
      <c r="E24" s="169" t="s">
        <v>135</v>
      </c>
      <c r="F24" s="170">
        <v>0.8499999917341978</v>
      </c>
      <c r="G24" s="170">
        <v>0.8499999917341978</v>
      </c>
      <c r="H24" s="171">
        <v>3.0</v>
      </c>
      <c r="I24" s="170">
        <v>0.5</v>
      </c>
      <c r="J24" s="170">
        <v>0.5</v>
      </c>
      <c r="K24" s="170">
        <v>0.0</v>
      </c>
      <c r="L24" s="170">
        <v>0.0</v>
      </c>
      <c r="M24" s="170">
        <v>0.0</v>
      </c>
      <c r="N24" s="170">
        <v>0.0</v>
      </c>
      <c r="O24" s="170">
        <v>0.24593617054524639</v>
      </c>
      <c r="P24" s="170">
        <v>0.24593617054524639</v>
      </c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</row>
    <row r="25" ht="14.25" customHeight="1">
      <c r="A25" s="147"/>
      <c r="B25" s="67">
        <v>19.0</v>
      </c>
      <c r="C25" s="167"/>
      <c r="D25" s="168" t="s">
        <v>234</v>
      </c>
      <c r="E25" s="169" t="s">
        <v>235</v>
      </c>
      <c r="F25" s="170">
        <v>0.8947627083333334</v>
      </c>
      <c r="G25" s="170">
        <v>0.8947627083333334</v>
      </c>
      <c r="H25" s="171">
        <v>3.0</v>
      </c>
      <c r="I25" s="170">
        <v>0.5</v>
      </c>
      <c r="J25" s="170">
        <v>0.5</v>
      </c>
      <c r="K25" s="170">
        <v>0.2</v>
      </c>
      <c r="L25" s="170">
        <v>0.2</v>
      </c>
      <c r="M25" s="170">
        <v>0.0</v>
      </c>
      <c r="N25" s="170">
        <v>0.0</v>
      </c>
      <c r="O25" s="170">
        <v>0.22200838925474645</v>
      </c>
      <c r="P25" s="170">
        <v>0.22200838925474645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</row>
    <row r="26" ht="14.25" customHeight="1">
      <c r="A26" s="147"/>
      <c r="B26" s="67">
        <v>20.0</v>
      </c>
      <c r="C26" s="167"/>
      <c r="D26" s="168" t="s">
        <v>40</v>
      </c>
      <c r="E26" s="169" t="s">
        <v>41</v>
      </c>
      <c r="F26" s="170">
        <v>0.91</v>
      </c>
      <c r="G26" s="170">
        <v>0.91</v>
      </c>
      <c r="H26" s="171">
        <v>3.0</v>
      </c>
      <c r="I26" s="170">
        <v>0.5</v>
      </c>
      <c r="J26" s="170">
        <v>0.5</v>
      </c>
      <c r="K26" s="170">
        <v>0.0</v>
      </c>
      <c r="L26" s="170">
        <v>0.0</v>
      </c>
      <c r="M26" s="170">
        <v>0.006728865831500431</v>
      </c>
      <c r="N26" s="170">
        <v>0.006728865831500431</v>
      </c>
      <c r="O26" s="170">
        <v>0.2377002627984317</v>
      </c>
      <c r="P26" s="170">
        <v>0.2377002627984317</v>
      </c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</row>
    <row r="27" ht="14.25" customHeight="1">
      <c r="A27" s="147"/>
      <c r="B27" s="67">
        <v>21.0</v>
      </c>
      <c r="C27" s="167"/>
      <c r="D27" s="168" t="s">
        <v>38</v>
      </c>
      <c r="E27" s="169" t="s">
        <v>39</v>
      </c>
      <c r="F27" s="170">
        <v>0.517231315398124</v>
      </c>
      <c r="G27" s="170">
        <v>0.517231315398124</v>
      </c>
      <c r="H27" s="171">
        <v>3.0</v>
      </c>
      <c r="I27" s="170">
        <v>0.3333333333333333</v>
      </c>
      <c r="J27" s="170">
        <v>0.3333333333333333</v>
      </c>
      <c r="K27" s="170">
        <v>0.0</v>
      </c>
      <c r="L27" s="170">
        <v>0.0</v>
      </c>
      <c r="M27" s="170">
        <v>0.09230400146614517</v>
      </c>
      <c r="N27" s="170">
        <v>0.09230400146614517</v>
      </c>
      <c r="O27" s="170">
        <v>0.22623225468889455</v>
      </c>
      <c r="P27" s="170">
        <v>0.22623225468889455</v>
      </c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</row>
    <row r="28" ht="14.25" customHeight="1">
      <c r="A28" s="147"/>
      <c r="B28" s="67">
        <v>22.0</v>
      </c>
      <c r="C28" s="167"/>
      <c r="D28" s="168" t="s">
        <v>140</v>
      </c>
      <c r="E28" s="169" t="s">
        <v>141</v>
      </c>
      <c r="F28" s="170">
        <v>0.72746025</v>
      </c>
      <c r="G28" s="170">
        <v>0.72746025</v>
      </c>
      <c r="H28" s="171">
        <v>3.0</v>
      </c>
      <c r="I28" s="170">
        <v>0.3333333333333333</v>
      </c>
      <c r="J28" s="170">
        <v>0.3333333333333333</v>
      </c>
      <c r="K28" s="170">
        <v>0.0</v>
      </c>
      <c r="L28" s="170">
        <v>0.0</v>
      </c>
      <c r="M28" s="170">
        <v>0.26691018333333333</v>
      </c>
      <c r="N28" s="170">
        <v>0.26691018333333333</v>
      </c>
      <c r="O28" s="170">
        <v>0.18699936733971712</v>
      </c>
      <c r="P28" s="170">
        <v>0.18699936733971712</v>
      </c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</row>
    <row r="29" ht="14.25" customHeight="1">
      <c r="A29" s="147"/>
      <c r="B29" s="67">
        <v>23.0</v>
      </c>
      <c r="C29" s="167"/>
      <c r="D29" s="168" t="s">
        <v>42</v>
      </c>
      <c r="E29" s="169" t="s">
        <v>43</v>
      </c>
      <c r="F29" s="170">
        <v>0.9536358438797401</v>
      </c>
      <c r="G29" s="170">
        <v>0.9536358438797401</v>
      </c>
      <c r="H29" s="171">
        <v>3.0</v>
      </c>
      <c r="I29" s="170">
        <v>0.5</v>
      </c>
      <c r="J29" s="170">
        <v>0.5</v>
      </c>
      <c r="K29" s="181">
        <v>0.5</v>
      </c>
      <c r="L29" s="182">
        <v>0.42857142857142855</v>
      </c>
      <c r="M29" s="170">
        <v>0.0</v>
      </c>
      <c r="N29" s="170">
        <v>0.0</v>
      </c>
      <c r="O29" s="170">
        <v>0.23562203533179202</v>
      </c>
      <c r="P29" s="170">
        <v>0.23562203533179202</v>
      </c>
      <c r="Q29" s="55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</row>
    <row r="30" ht="14.25" customHeight="1">
      <c r="A30" s="147"/>
      <c r="B30" s="67">
        <v>24.0</v>
      </c>
      <c r="C30" s="167"/>
      <c r="D30" s="168" t="s">
        <v>44</v>
      </c>
      <c r="E30" s="169" t="s">
        <v>45</v>
      </c>
      <c r="F30" s="170">
        <v>0.8053294538080733</v>
      </c>
      <c r="G30" s="170">
        <v>0.8053294538080733</v>
      </c>
      <c r="H30" s="171">
        <v>3.0</v>
      </c>
      <c r="I30" s="170">
        <v>0.5</v>
      </c>
      <c r="J30" s="170">
        <v>0.5</v>
      </c>
      <c r="K30" s="170">
        <v>0.0625</v>
      </c>
      <c r="L30" s="170">
        <v>0.0625</v>
      </c>
      <c r="M30" s="170">
        <v>0.0</v>
      </c>
      <c r="N30" s="170">
        <v>0.0</v>
      </c>
      <c r="O30" s="170">
        <v>0.2396144516194188</v>
      </c>
      <c r="P30" s="170">
        <v>0.2396144516194188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</row>
    <row r="31" ht="14.25" customHeight="1">
      <c r="A31" s="147"/>
      <c r="B31" s="67">
        <v>25.0</v>
      </c>
      <c r="C31" s="167"/>
      <c r="D31" s="168" t="s">
        <v>46</v>
      </c>
      <c r="E31" s="169" t="s">
        <v>47</v>
      </c>
      <c r="F31" s="170">
        <v>0.9658999999601386</v>
      </c>
      <c r="G31" s="170">
        <v>0.9658999999601386</v>
      </c>
      <c r="H31" s="171">
        <v>3.0</v>
      </c>
      <c r="I31" s="170">
        <v>0.375</v>
      </c>
      <c r="J31" s="170">
        <v>0.375</v>
      </c>
      <c r="K31" s="170">
        <v>0.10526315789473684</v>
      </c>
      <c r="L31" s="170">
        <v>0.10526315789473684</v>
      </c>
      <c r="M31" s="170">
        <v>1.571700417969446E-4</v>
      </c>
      <c r="N31" s="170">
        <v>1.571700417969446E-4</v>
      </c>
      <c r="O31" s="170">
        <v>0.25377511463202684</v>
      </c>
      <c r="P31" s="170">
        <v>0.25377511463202684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</row>
    <row r="32" ht="14.25" customHeight="1">
      <c r="A32" s="147"/>
      <c r="B32" s="67">
        <v>26.0</v>
      </c>
      <c r="C32" s="167"/>
      <c r="D32" s="168" t="s">
        <v>150</v>
      </c>
      <c r="E32" s="169" t="s">
        <v>151</v>
      </c>
      <c r="F32" s="180">
        <v>0.07015902712815715</v>
      </c>
      <c r="G32" s="180">
        <v>0.07015902712815715</v>
      </c>
      <c r="H32" s="171">
        <v>3.0</v>
      </c>
      <c r="I32" s="170">
        <v>0.5</v>
      </c>
      <c r="J32" s="170">
        <v>0.5</v>
      </c>
      <c r="K32" s="170">
        <v>0.25</v>
      </c>
      <c r="L32" s="170">
        <v>0.25</v>
      </c>
      <c r="M32" s="181">
        <v>0.638510927799983</v>
      </c>
      <c r="N32" s="181">
        <v>0.638510927799983</v>
      </c>
      <c r="O32" s="170">
        <v>0.25797866165747757</v>
      </c>
      <c r="P32" s="170">
        <v>0.25797866165747757</v>
      </c>
      <c r="Q32" s="55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</row>
    <row r="33" ht="14.25" customHeight="1">
      <c r="A33" s="147"/>
      <c r="B33" s="67">
        <v>27.0</v>
      </c>
      <c r="C33" s="167"/>
      <c r="D33" s="168" t="s">
        <v>48</v>
      </c>
      <c r="E33" s="169" t="s">
        <v>49</v>
      </c>
      <c r="F33" s="170">
        <v>0.8993096658008631</v>
      </c>
      <c r="G33" s="170">
        <v>0.8993096658008631</v>
      </c>
      <c r="H33" s="171">
        <v>3.0</v>
      </c>
      <c r="I33" s="170">
        <v>0.5</v>
      </c>
      <c r="J33" s="170">
        <v>0.5</v>
      </c>
      <c r="K33" s="170">
        <v>0.0</v>
      </c>
      <c r="L33" s="170">
        <v>0.0</v>
      </c>
      <c r="M33" s="170">
        <v>2.5453296881987054E-4</v>
      </c>
      <c r="N33" s="170">
        <v>2.5453296881987054E-4</v>
      </c>
      <c r="O33" s="170">
        <v>0.2371916712415114</v>
      </c>
      <c r="P33" s="170">
        <v>0.2371916712415114</v>
      </c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</row>
    <row r="34" ht="14.25" customHeight="1">
      <c r="A34" s="147"/>
      <c r="B34" s="67">
        <v>28.0</v>
      </c>
      <c r="C34" s="167"/>
      <c r="D34" s="168" t="s">
        <v>178</v>
      </c>
      <c r="E34" s="169" t="s">
        <v>179</v>
      </c>
      <c r="F34" s="170">
        <v>0.9060844</v>
      </c>
      <c r="G34" s="170">
        <v>0.9060844</v>
      </c>
      <c r="H34" s="171">
        <v>3.0</v>
      </c>
      <c r="I34" s="170">
        <v>0.3333333333333333</v>
      </c>
      <c r="J34" s="170">
        <v>0.3333333333333333</v>
      </c>
      <c r="K34" s="180">
        <v>0.0</v>
      </c>
      <c r="L34" s="180">
        <v>0.0</v>
      </c>
      <c r="M34" s="180">
        <v>0.0</v>
      </c>
      <c r="N34" s="180">
        <v>0.0</v>
      </c>
      <c r="O34" s="170">
        <v>0.21955702448995265</v>
      </c>
      <c r="P34" s="170">
        <v>0.21955702448995265</v>
      </c>
      <c r="Q34" s="55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</row>
    <row r="35" ht="14.25" customHeight="1">
      <c r="A35" s="147"/>
      <c r="B35" s="67">
        <v>29.0</v>
      </c>
      <c r="C35" s="167"/>
      <c r="D35" s="168" t="s">
        <v>162</v>
      </c>
      <c r="E35" s="169" t="s">
        <v>163</v>
      </c>
      <c r="F35" s="170">
        <v>0.76190476375</v>
      </c>
      <c r="G35" s="170">
        <v>0.76190476375</v>
      </c>
      <c r="H35" s="171">
        <v>3.0</v>
      </c>
      <c r="I35" s="170">
        <v>0.5</v>
      </c>
      <c r="J35" s="170">
        <v>0.5</v>
      </c>
      <c r="K35" s="170">
        <v>0.25</v>
      </c>
      <c r="L35" s="170">
        <v>0.25</v>
      </c>
      <c r="M35" s="170">
        <v>0.02803175875</v>
      </c>
      <c r="N35" s="170">
        <v>0.02803175875</v>
      </c>
      <c r="O35" s="170">
        <v>0.21631048672841346</v>
      </c>
      <c r="P35" s="170">
        <v>0.21631048672841346</v>
      </c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</row>
    <row r="36" ht="14.25" customHeight="1">
      <c r="A36" s="147"/>
      <c r="B36" s="67">
        <v>30.0</v>
      </c>
      <c r="C36" s="167"/>
      <c r="D36" s="168" t="s">
        <v>68</v>
      </c>
      <c r="E36" s="169" t="s">
        <v>69</v>
      </c>
      <c r="F36" s="170">
        <v>0.5961901457055573</v>
      </c>
      <c r="G36" s="170">
        <v>0.5961901457055573</v>
      </c>
      <c r="H36" s="171">
        <v>3.0</v>
      </c>
      <c r="I36" s="170">
        <v>0.4</v>
      </c>
      <c r="J36" s="170">
        <v>0.4</v>
      </c>
      <c r="K36" s="170">
        <v>0.1111111111111111</v>
      </c>
      <c r="L36" s="170">
        <v>0.1111111111111111</v>
      </c>
      <c r="M36" s="170">
        <v>3.108520823394116E-5</v>
      </c>
      <c r="N36" s="170">
        <v>3.108520823394116E-5</v>
      </c>
      <c r="O36" s="170">
        <v>0.193404881089188</v>
      </c>
      <c r="P36" s="170">
        <v>0.193404881089188</v>
      </c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</row>
    <row r="37" ht="14.25" customHeight="1">
      <c r="A37" s="147"/>
      <c r="B37" s="67">
        <v>31.0</v>
      </c>
      <c r="C37" s="167"/>
      <c r="D37" s="168" t="s">
        <v>52</v>
      </c>
      <c r="E37" s="169" t="s">
        <v>53</v>
      </c>
      <c r="F37" s="170">
        <v>0.572704921049693</v>
      </c>
      <c r="G37" s="170">
        <v>0.572704921049693</v>
      </c>
      <c r="H37" s="171">
        <v>3.0</v>
      </c>
      <c r="I37" s="170">
        <v>0.6</v>
      </c>
      <c r="J37" s="170">
        <v>0.6</v>
      </c>
      <c r="K37" s="170">
        <v>0.0</v>
      </c>
      <c r="L37" s="170">
        <v>0.0</v>
      </c>
      <c r="M37" s="170">
        <v>0.003300993858179788</v>
      </c>
      <c r="N37" s="170">
        <v>0.003300993858179788</v>
      </c>
      <c r="O37" s="180">
        <v>0.1763020915313837</v>
      </c>
      <c r="P37" s="180">
        <v>0.1763020915313837</v>
      </c>
      <c r="Q37" s="55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</row>
    <row r="38" ht="14.25" customHeight="1">
      <c r="A38" s="147"/>
      <c r="B38" s="67">
        <v>32.0</v>
      </c>
      <c r="C38" s="167"/>
      <c r="D38" s="168" t="s">
        <v>58</v>
      </c>
      <c r="E38" s="169" t="s">
        <v>59</v>
      </c>
      <c r="F38" s="170">
        <v>0.9585427253358627</v>
      </c>
      <c r="G38" s="170">
        <v>0.9585427253358627</v>
      </c>
      <c r="H38" s="171">
        <v>3.0</v>
      </c>
      <c r="I38" s="170">
        <v>0.5</v>
      </c>
      <c r="J38" s="170">
        <v>0.5</v>
      </c>
      <c r="K38" s="170">
        <v>0.2</v>
      </c>
      <c r="L38" s="170">
        <v>0.2</v>
      </c>
      <c r="M38" s="170">
        <v>0.0065051019080591445</v>
      </c>
      <c r="N38" s="170">
        <v>0.0065051019080591445</v>
      </c>
      <c r="O38" s="170">
        <v>0.19372915492474058</v>
      </c>
      <c r="P38" s="170">
        <v>0.19372915492474058</v>
      </c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</row>
    <row r="39" ht="14.25" customHeight="1">
      <c r="A39" s="147"/>
      <c r="B39" s="67">
        <v>33.0</v>
      </c>
      <c r="C39" s="167"/>
      <c r="D39" s="168" t="s">
        <v>60</v>
      </c>
      <c r="E39" s="169" t="s">
        <v>61</v>
      </c>
      <c r="F39" s="170">
        <v>0.8931898433792121</v>
      </c>
      <c r="G39" s="170">
        <v>0.8931898433792121</v>
      </c>
      <c r="H39" s="171">
        <v>3.0</v>
      </c>
      <c r="I39" s="170">
        <v>0.5</v>
      </c>
      <c r="J39" s="170">
        <v>0.5</v>
      </c>
      <c r="K39" s="181">
        <v>0.5</v>
      </c>
      <c r="L39" s="181">
        <v>0.5</v>
      </c>
      <c r="M39" s="170">
        <v>0.0</v>
      </c>
      <c r="N39" s="170">
        <v>0.0</v>
      </c>
      <c r="O39" s="170">
        <v>0.2579898546876141</v>
      </c>
      <c r="P39" s="170">
        <v>0.2579898546876141</v>
      </c>
      <c r="Q39" s="55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</row>
    <row r="40" ht="14.25" customHeight="1">
      <c r="A40" s="147"/>
      <c r="B40" s="67">
        <v>34.0</v>
      </c>
      <c r="C40" s="167"/>
      <c r="D40" s="168" t="s">
        <v>62</v>
      </c>
      <c r="E40" s="169" t="s">
        <v>63</v>
      </c>
      <c r="F40" s="170">
        <v>0.5856202741604056</v>
      </c>
      <c r="G40" s="170">
        <v>0.5856202741604056</v>
      </c>
      <c r="H40" s="171">
        <v>3.0</v>
      </c>
      <c r="I40" s="170">
        <v>0.4</v>
      </c>
      <c r="J40" s="170">
        <v>0.4</v>
      </c>
      <c r="K40" s="170">
        <v>0.0</v>
      </c>
      <c r="L40" s="170">
        <v>0.0</v>
      </c>
      <c r="M40" s="170">
        <v>4.667855807654317E-6</v>
      </c>
      <c r="N40" s="170">
        <v>4.667855807654317E-6</v>
      </c>
      <c r="O40" s="183">
        <v>1.6669652415179255</v>
      </c>
      <c r="P40" s="184" t="s">
        <v>355</v>
      </c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</row>
    <row r="41" ht="14.25" customHeight="1">
      <c r="A41" s="147"/>
      <c r="B41" s="67">
        <v>35.0</v>
      </c>
      <c r="C41" s="167"/>
      <c r="D41" s="168" t="s">
        <v>54</v>
      </c>
      <c r="E41" s="169" t="s">
        <v>55</v>
      </c>
      <c r="F41" s="170">
        <v>0.5907083858831151</v>
      </c>
      <c r="G41" s="170">
        <v>0.5907083858831151</v>
      </c>
      <c r="H41" s="171">
        <v>3.0</v>
      </c>
      <c r="I41" s="170">
        <v>0.4</v>
      </c>
      <c r="J41" s="170">
        <v>0.4</v>
      </c>
      <c r="K41" s="170">
        <v>0.0</v>
      </c>
      <c r="L41" s="170">
        <v>0.0</v>
      </c>
      <c r="M41" s="170">
        <v>0.2525240988717648</v>
      </c>
      <c r="N41" s="170">
        <v>0.2525240988717648</v>
      </c>
      <c r="O41" s="170">
        <v>0.2138789616556263</v>
      </c>
      <c r="P41" s="170">
        <v>0.2138789616556263</v>
      </c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</row>
    <row r="42" ht="14.25" customHeight="1">
      <c r="A42" s="147"/>
      <c r="B42" s="67">
        <v>36.0</v>
      </c>
      <c r="C42" s="167"/>
      <c r="D42" s="168" t="s">
        <v>190</v>
      </c>
      <c r="E42" s="169" t="s">
        <v>191</v>
      </c>
      <c r="F42" s="181">
        <v>0.9989610043550116</v>
      </c>
      <c r="G42" s="181">
        <v>0.9989610043550116</v>
      </c>
      <c r="H42" s="171">
        <v>3.0</v>
      </c>
      <c r="I42" s="170">
        <v>0.5</v>
      </c>
      <c r="J42" s="170">
        <v>0.5</v>
      </c>
      <c r="K42" s="170">
        <v>0.0</v>
      </c>
      <c r="L42" s="170">
        <v>0.0</v>
      </c>
      <c r="M42" s="170">
        <v>0.0</v>
      </c>
      <c r="N42" s="170">
        <v>0.0</v>
      </c>
      <c r="O42" s="180">
        <v>0.11451296496314255</v>
      </c>
      <c r="P42" s="180">
        <v>0.11451296496314255</v>
      </c>
      <c r="Q42" s="55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</row>
    <row r="43" ht="14.25" customHeight="1">
      <c r="A43" s="147"/>
      <c r="B43" s="67">
        <v>37.0</v>
      </c>
      <c r="C43" s="167"/>
      <c r="D43" s="168" t="s">
        <v>64</v>
      </c>
      <c r="E43" s="169" t="s">
        <v>65</v>
      </c>
      <c r="F43" s="170">
        <v>0.8827834801061007</v>
      </c>
      <c r="G43" s="170">
        <v>0.8827834801061007</v>
      </c>
      <c r="H43" s="171">
        <v>3.0</v>
      </c>
      <c r="I43" s="170">
        <v>0.5</v>
      </c>
      <c r="J43" s="170">
        <v>0.5</v>
      </c>
      <c r="K43" s="181">
        <v>0.42857142857142855</v>
      </c>
      <c r="L43" s="181">
        <v>0.42857142857142855</v>
      </c>
      <c r="M43" s="170">
        <v>0.08488063660477453</v>
      </c>
      <c r="N43" s="170">
        <v>0.08488063660477453</v>
      </c>
      <c r="O43" s="170">
        <v>0.19103751017904452</v>
      </c>
      <c r="P43" s="170">
        <v>0.19103751017904452</v>
      </c>
      <c r="Q43" s="55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</row>
    <row r="44" ht="14.25" customHeight="1">
      <c r="A44" s="147"/>
      <c r="B44" s="67">
        <v>38.0</v>
      </c>
      <c r="C44" s="167"/>
      <c r="D44" s="168" t="s">
        <v>184</v>
      </c>
      <c r="E44" s="169" t="s">
        <v>185</v>
      </c>
      <c r="F44" s="181">
        <v>0.9948106385413101</v>
      </c>
      <c r="G44" s="181">
        <v>0.9948106385413101</v>
      </c>
      <c r="H44" s="171">
        <v>3.0</v>
      </c>
      <c r="I44" s="180">
        <v>0.3333333333333333</v>
      </c>
      <c r="J44" s="180">
        <v>0.3333333333333333</v>
      </c>
      <c r="K44" s="181">
        <v>0.6</v>
      </c>
      <c r="L44" s="181">
        <v>0.6</v>
      </c>
      <c r="M44" s="180">
        <v>0.0</v>
      </c>
      <c r="N44" s="180">
        <v>0.0</v>
      </c>
      <c r="O44" s="170">
        <v>0.24535481401163833</v>
      </c>
      <c r="P44" s="170">
        <v>0.24535481401163833</v>
      </c>
      <c r="Q44" s="55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</row>
    <row r="45" ht="14.25" customHeight="1">
      <c r="A45" s="147"/>
      <c r="B45" s="67">
        <v>39.0</v>
      </c>
      <c r="C45" s="167"/>
      <c r="D45" s="168" t="s">
        <v>176</v>
      </c>
      <c r="E45" s="169" t="s">
        <v>177</v>
      </c>
      <c r="F45" s="170">
        <v>0.9254217103610675</v>
      </c>
      <c r="G45" s="170">
        <v>0.9254217103610675</v>
      </c>
      <c r="H45" s="171">
        <v>2.0</v>
      </c>
      <c r="I45" s="181">
        <v>0.8333333333333334</v>
      </c>
      <c r="J45" s="182">
        <v>0.8</v>
      </c>
      <c r="K45" s="170">
        <v>0.0</v>
      </c>
      <c r="L45" s="170">
        <v>0.0</v>
      </c>
      <c r="M45" s="170">
        <v>0.0</v>
      </c>
      <c r="N45" s="170">
        <v>0.0</v>
      </c>
      <c r="O45" s="170">
        <v>0.3290926719581874</v>
      </c>
      <c r="P45" s="170">
        <v>0.3290926719581874</v>
      </c>
      <c r="Q45" s="55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</row>
    <row r="46" ht="14.25" customHeight="1">
      <c r="A46" s="147"/>
      <c r="B46" s="67">
        <v>40.0</v>
      </c>
      <c r="C46" s="167"/>
      <c r="D46" s="168" t="s">
        <v>72</v>
      </c>
      <c r="E46" s="169" t="s">
        <v>73</v>
      </c>
      <c r="F46" s="170">
        <v>0.935616637212131</v>
      </c>
      <c r="G46" s="170">
        <v>0.935616637212131</v>
      </c>
      <c r="H46" s="171">
        <v>3.0</v>
      </c>
      <c r="I46" s="170">
        <v>0.6666666666666666</v>
      </c>
      <c r="J46" s="170">
        <v>0.6666666666666666</v>
      </c>
      <c r="K46" s="170">
        <v>0.0</v>
      </c>
      <c r="L46" s="170">
        <v>0.0</v>
      </c>
      <c r="M46" s="170">
        <v>0.0</v>
      </c>
      <c r="N46" s="170">
        <v>0.0</v>
      </c>
      <c r="O46" s="170">
        <v>0.2596765474463316</v>
      </c>
      <c r="P46" s="170">
        <v>0.2596765474463316</v>
      </c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</row>
    <row r="47" ht="14.25" customHeight="1">
      <c r="A47" s="147"/>
      <c r="B47" s="67">
        <v>41.0</v>
      </c>
      <c r="C47" s="167"/>
      <c r="D47" s="168" t="s">
        <v>70</v>
      </c>
      <c r="E47" s="169" t="s">
        <v>71</v>
      </c>
      <c r="F47" s="170">
        <v>0.8758</v>
      </c>
      <c r="G47" s="170">
        <v>0.8758</v>
      </c>
      <c r="H47" s="171">
        <v>3.0</v>
      </c>
      <c r="I47" s="170">
        <v>0.3333333333333333</v>
      </c>
      <c r="J47" s="170">
        <v>0.3333333333333333</v>
      </c>
      <c r="K47" s="170">
        <v>0.1111111111111111</v>
      </c>
      <c r="L47" s="170">
        <v>0.1111111111111111</v>
      </c>
      <c r="M47" s="170">
        <v>5.93498226924047E-5</v>
      </c>
      <c r="N47" s="170">
        <v>5.93498226924047E-5</v>
      </c>
      <c r="O47" s="181">
        <v>0.3702070016262089</v>
      </c>
      <c r="P47" s="181">
        <v>0.3702070016262089</v>
      </c>
      <c r="Q47" s="55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</row>
    <row r="48" ht="14.25" customHeight="1">
      <c r="A48" s="147"/>
      <c r="B48" s="67">
        <v>42.0</v>
      </c>
      <c r="C48" s="167"/>
      <c r="D48" s="168" t="s">
        <v>202</v>
      </c>
      <c r="E48" s="169" t="s">
        <v>203</v>
      </c>
      <c r="F48" s="170">
        <v>0.9776838045546772</v>
      </c>
      <c r="G48" s="170">
        <v>0.9776838045546772</v>
      </c>
      <c r="H48" s="171">
        <v>3.0</v>
      </c>
      <c r="I48" s="170">
        <v>0.3333333333333333</v>
      </c>
      <c r="J48" s="170">
        <v>0.3333333333333333</v>
      </c>
      <c r="K48" s="170">
        <v>0.2</v>
      </c>
      <c r="L48" s="170">
        <v>0.2</v>
      </c>
      <c r="M48" s="170">
        <v>0.005296151014744322</v>
      </c>
      <c r="N48" s="170">
        <v>0.005296151014744322</v>
      </c>
      <c r="O48" s="170">
        <v>0.19011599043311347</v>
      </c>
      <c r="P48" s="170">
        <v>0.19011599043311347</v>
      </c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</row>
    <row r="49" ht="14.25" customHeight="1">
      <c r="A49" s="147"/>
      <c r="B49" s="67">
        <v>43.0</v>
      </c>
      <c r="C49" s="167"/>
      <c r="D49" s="168" t="s">
        <v>206</v>
      </c>
      <c r="E49" s="169" t="s">
        <v>207</v>
      </c>
      <c r="F49" s="170">
        <v>0.9239968319737425</v>
      </c>
      <c r="G49" s="170">
        <v>0.9239968319737425</v>
      </c>
      <c r="H49" s="171">
        <v>3.0</v>
      </c>
      <c r="I49" s="170">
        <v>0.42857142857142855</v>
      </c>
      <c r="J49" s="170">
        <v>0.42857142857142855</v>
      </c>
      <c r="K49" s="170">
        <v>0.0</v>
      </c>
      <c r="L49" s="170">
        <v>0.0</v>
      </c>
      <c r="M49" s="170">
        <v>0.0</v>
      </c>
      <c r="N49" s="170">
        <v>0.0</v>
      </c>
      <c r="O49" s="170">
        <v>0.19115788180701915</v>
      </c>
      <c r="P49" s="170">
        <v>0.19115788180701915</v>
      </c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</row>
    <row r="50" ht="14.25" customHeight="1">
      <c r="A50" s="147"/>
      <c r="B50" s="67">
        <v>44.0</v>
      </c>
      <c r="C50" s="167"/>
      <c r="D50" s="168" t="s">
        <v>76</v>
      </c>
      <c r="E50" s="169" t="s">
        <v>77</v>
      </c>
      <c r="F50" s="170">
        <v>0.6415766729658793</v>
      </c>
      <c r="G50" s="170">
        <v>0.6415766729658793</v>
      </c>
      <c r="H50" s="171">
        <v>3.0</v>
      </c>
      <c r="I50" s="170">
        <v>0.3333333333333333</v>
      </c>
      <c r="J50" s="170">
        <v>0.3333333333333333</v>
      </c>
      <c r="K50" s="170">
        <v>0.0</v>
      </c>
      <c r="L50" s="170">
        <v>0.0</v>
      </c>
      <c r="M50" s="170">
        <v>6.299212598425197E-6</v>
      </c>
      <c r="N50" s="170">
        <v>6.299212598425197E-6</v>
      </c>
      <c r="O50" s="170">
        <v>0.18784217842114118</v>
      </c>
      <c r="P50" s="170">
        <v>0.18784217842114118</v>
      </c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</row>
    <row r="51" ht="14.25" customHeight="1">
      <c r="A51" s="147"/>
      <c r="B51" s="67">
        <v>45.0</v>
      </c>
      <c r="C51" s="167"/>
      <c r="D51" s="168" t="s">
        <v>204</v>
      </c>
      <c r="E51" s="169" t="s">
        <v>205</v>
      </c>
      <c r="F51" s="170">
        <v>0.6353971755725191</v>
      </c>
      <c r="G51" s="170">
        <v>0.6353971755725191</v>
      </c>
      <c r="H51" s="171">
        <v>3.0</v>
      </c>
      <c r="I51" s="170">
        <v>0.5</v>
      </c>
      <c r="J51" s="170">
        <v>0.5</v>
      </c>
      <c r="K51" s="170">
        <v>0.0</v>
      </c>
      <c r="L51" s="170">
        <v>0.0</v>
      </c>
      <c r="M51" s="170">
        <v>0.0</v>
      </c>
      <c r="N51" s="170">
        <v>0.0</v>
      </c>
      <c r="O51" s="180">
        <v>0.17469988869026637</v>
      </c>
      <c r="P51" s="180">
        <v>0.17469988869026637</v>
      </c>
      <c r="Q51" s="55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</row>
    <row r="52" ht="14.25" customHeight="1">
      <c r="A52" s="147"/>
      <c r="B52" s="67">
        <v>46.0</v>
      </c>
      <c r="C52" s="167"/>
      <c r="D52" s="168" t="s">
        <v>82</v>
      </c>
      <c r="E52" s="169" t="s">
        <v>83</v>
      </c>
      <c r="F52" s="170">
        <v>0.8657078691190145</v>
      </c>
      <c r="G52" s="170">
        <v>0.8657078691190145</v>
      </c>
      <c r="H52" s="171">
        <v>3.0</v>
      </c>
      <c r="I52" s="170">
        <v>0.375</v>
      </c>
      <c r="J52" s="170">
        <v>0.375</v>
      </c>
      <c r="K52" s="170">
        <v>0.2</v>
      </c>
      <c r="L52" s="170">
        <v>0.2</v>
      </c>
      <c r="M52" s="170">
        <v>0.0058982175580555435</v>
      </c>
      <c r="N52" s="170">
        <v>0.0058982175580555435</v>
      </c>
      <c r="O52" s="180">
        <v>0.16277860103364314</v>
      </c>
      <c r="P52" s="180">
        <v>0.16277860103364314</v>
      </c>
      <c r="Q52" s="55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</row>
    <row r="53" ht="14.25" customHeight="1">
      <c r="A53" s="147"/>
      <c r="B53" s="67">
        <v>47.0</v>
      </c>
      <c r="C53" s="167"/>
      <c r="D53" s="168" t="s">
        <v>84</v>
      </c>
      <c r="E53" s="169" t="s">
        <v>85</v>
      </c>
      <c r="F53" s="170">
        <v>0.5522764714186063</v>
      </c>
      <c r="G53" s="170">
        <v>0.5522764714186063</v>
      </c>
      <c r="H53" s="171">
        <v>3.0</v>
      </c>
      <c r="I53" s="170">
        <v>0.3333333333333333</v>
      </c>
      <c r="J53" s="170">
        <v>0.3333333333333333</v>
      </c>
      <c r="K53" s="170">
        <v>0.14285714285714285</v>
      </c>
      <c r="L53" s="170">
        <v>0.14285714285714285</v>
      </c>
      <c r="M53" s="170">
        <v>0.0</v>
      </c>
      <c r="N53" s="170">
        <v>0.0</v>
      </c>
      <c r="O53" s="170">
        <v>0.21451939493373634</v>
      </c>
      <c r="P53" s="170">
        <v>0.21451939493373634</v>
      </c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</row>
    <row r="54" ht="14.25" customHeight="1">
      <c r="A54" s="147"/>
      <c r="B54" s="67">
        <v>48.0</v>
      </c>
      <c r="C54" s="167"/>
      <c r="D54" s="168" t="s">
        <v>212</v>
      </c>
      <c r="E54" s="169" t="s">
        <v>213</v>
      </c>
      <c r="F54" s="180">
        <v>0.052146287451292496</v>
      </c>
      <c r="G54" s="182">
        <v>0.9767281841015664</v>
      </c>
      <c r="H54" s="171">
        <v>3.0</v>
      </c>
      <c r="I54" s="170">
        <v>0.4</v>
      </c>
      <c r="J54" s="170">
        <v>0.4</v>
      </c>
      <c r="K54" s="170">
        <v>0.3333333333333333</v>
      </c>
      <c r="L54" s="170">
        <v>0.3333333333333333</v>
      </c>
      <c r="M54" s="170">
        <v>0.0046306843467191225</v>
      </c>
      <c r="N54" s="170">
        <v>0.0046306843467191225</v>
      </c>
      <c r="O54" s="170">
        <v>0.20935608667943997</v>
      </c>
      <c r="P54" s="170">
        <v>0.20935608667943997</v>
      </c>
      <c r="Q54" s="55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</row>
    <row r="55" ht="14.25" customHeight="1">
      <c r="A55" s="147"/>
      <c r="B55" s="67">
        <v>49.0</v>
      </c>
      <c r="C55" s="167"/>
      <c r="D55" s="168" t="s">
        <v>88</v>
      </c>
      <c r="E55" s="169" t="s">
        <v>89</v>
      </c>
      <c r="F55" s="170">
        <v>0.803190142993543</v>
      </c>
      <c r="G55" s="170">
        <v>0.803190142993543</v>
      </c>
      <c r="H55" s="171">
        <v>3.0</v>
      </c>
      <c r="I55" s="170">
        <v>0.4</v>
      </c>
      <c r="J55" s="170">
        <v>0.4</v>
      </c>
      <c r="K55" s="170">
        <v>0.25</v>
      </c>
      <c r="L55" s="170">
        <v>0.25</v>
      </c>
      <c r="M55" s="170">
        <v>1.2029142377723105E-7</v>
      </c>
      <c r="N55" s="170">
        <v>1.2029142377723105E-7</v>
      </c>
      <c r="O55" s="170">
        <v>0.27241853656952375</v>
      </c>
      <c r="P55" s="170">
        <v>0.27241853656952375</v>
      </c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</row>
    <row r="56" ht="14.25" customHeight="1">
      <c r="A56" s="147"/>
      <c r="B56" s="67">
        <v>50.0</v>
      </c>
      <c r="C56" s="167"/>
      <c r="D56" s="168" t="s">
        <v>86</v>
      </c>
      <c r="E56" s="169" t="s">
        <v>87</v>
      </c>
      <c r="F56" s="170">
        <v>0.7794474957490618</v>
      </c>
      <c r="G56" s="170">
        <v>0.7794474957490618</v>
      </c>
      <c r="H56" s="171">
        <v>2.0</v>
      </c>
      <c r="I56" s="180">
        <v>0.3333333333333333</v>
      </c>
      <c r="J56" s="180">
        <v>0.3333333333333333</v>
      </c>
      <c r="K56" s="180">
        <v>0.0</v>
      </c>
      <c r="L56" s="180">
        <v>0.0</v>
      </c>
      <c r="M56" s="170">
        <v>0.48751579257868244</v>
      </c>
      <c r="N56" s="170">
        <v>0.48751579257868244</v>
      </c>
      <c r="O56" s="170">
        <v>0.2509794429471574</v>
      </c>
      <c r="P56" s="170">
        <v>0.2509794429471574</v>
      </c>
      <c r="Q56" s="55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</row>
    <row r="57" ht="14.25" customHeight="1">
      <c r="A57" s="147"/>
      <c r="B57" s="67">
        <v>51.0</v>
      </c>
      <c r="C57" s="167"/>
      <c r="D57" s="168" t="s">
        <v>226</v>
      </c>
      <c r="E57" s="169" t="s">
        <v>227</v>
      </c>
      <c r="F57" s="170">
        <v>0.4604975411000692</v>
      </c>
      <c r="G57" s="170">
        <v>0.4604975411000692</v>
      </c>
      <c r="H57" s="171">
        <v>3.0</v>
      </c>
      <c r="I57" s="170">
        <v>0.3333333333333333</v>
      </c>
      <c r="J57" s="170">
        <v>0.3333333333333333</v>
      </c>
      <c r="K57" s="170">
        <v>0.0</v>
      </c>
      <c r="L57" s="170">
        <v>0.0</v>
      </c>
      <c r="M57" s="170">
        <v>0.0</v>
      </c>
      <c r="N57" s="170">
        <v>0.0</v>
      </c>
      <c r="O57" s="180">
        <v>0.017439213619275876</v>
      </c>
      <c r="P57" s="180">
        <v>0.017439213619275876</v>
      </c>
      <c r="Q57" s="55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</row>
    <row r="58" ht="14.25" customHeight="1">
      <c r="A58" s="147"/>
      <c r="B58" s="67">
        <v>52.0</v>
      </c>
      <c r="C58" s="167"/>
      <c r="D58" s="168" t="s">
        <v>90</v>
      </c>
      <c r="E58" s="169" t="s">
        <v>91</v>
      </c>
      <c r="F58" s="170">
        <v>0.9651050807077326</v>
      </c>
      <c r="G58" s="170">
        <v>0.9651050807077326</v>
      </c>
      <c r="H58" s="171">
        <v>3.0</v>
      </c>
      <c r="I58" s="181">
        <v>0.8333333333333334</v>
      </c>
      <c r="J58" s="181">
        <v>0.8333333333333334</v>
      </c>
      <c r="K58" s="181">
        <v>0.5</v>
      </c>
      <c r="L58" s="181">
        <v>0.5</v>
      </c>
      <c r="M58" s="170">
        <v>0.0</v>
      </c>
      <c r="N58" s="170">
        <v>0.0</v>
      </c>
      <c r="O58" s="170">
        <v>0.2329264922103182</v>
      </c>
      <c r="P58" s="170">
        <v>0.2329264922103182</v>
      </c>
      <c r="Q58" s="55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</row>
    <row r="59" ht="14.25" customHeight="1">
      <c r="A59" s="147"/>
      <c r="B59" s="67">
        <v>53.0</v>
      </c>
      <c r="C59" s="167"/>
      <c r="D59" s="168" t="s">
        <v>92</v>
      </c>
      <c r="E59" s="169" t="s">
        <v>93</v>
      </c>
      <c r="F59" s="170">
        <v>0.8494856887298747</v>
      </c>
      <c r="G59" s="170">
        <v>0.8494856887298747</v>
      </c>
      <c r="H59" s="171">
        <v>3.0</v>
      </c>
      <c r="I59" s="170">
        <v>0.3333333333333333</v>
      </c>
      <c r="J59" s="170">
        <v>0.3333333333333333</v>
      </c>
      <c r="K59" s="170">
        <v>0.2</v>
      </c>
      <c r="L59" s="170">
        <v>0.2</v>
      </c>
      <c r="M59" s="170">
        <v>2.4381335718545022E-4</v>
      </c>
      <c r="N59" s="170">
        <v>2.4381335718545022E-4</v>
      </c>
      <c r="O59" s="170">
        <v>0.26252524124830995</v>
      </c>
      <c r="P59" s="170">
        <v>0.26252524124830995</v>
      </c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</row>
    <row r="60" ht="14.25" customHeight="1">
      <c r="A60" s="147"/>
      <c r="B60" s="67">
        <v>54.0</v>
      </c>
      <c r="C60" s="167"/>
      <c r="D60" s="168" t="s">
        <v>94</v>
      </c>
      <c r="E60" s="169" t="s">
        <v>95</v>
      </c>
      <c r="F60" s="170">
        <v>0.6447466237208469</v>
      </c>
      <c r="G60" s="170">
        <v>0.6447466237208469</v>
      </c>
      <c r="H60" s="171">
        <v>3.0</v>
      </c>
      <c r="I60" s="170">
        <v>0.5</v>
      </c>
      <c r="J60" s="170">
        <v>0.5</v>
      </c>
      <c r="K60" s="170">
        <v>0.0</v>
      </c>
      <c r="L60" s="170">
        <v>0.0</v>
      </c>
      <c r="M60" s="170">
        <v>0.5381022223926452</v>
      </c>
      <c r="N60" s="170">
        <v>0.5381022223926452</v>
      </c>
      <c r="O60" s="170">
        <v>0.21857042049741165</v>
      </c>
      <c r="P60" s="170">
        <v>0.21857042049741165</v>
      </c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</row>
    <row r="61" ht="14.25" customHeight="1">
      <c r="A61" s="147"/>
      <c r="B61" s="67">
        <v>55.0</v>
      </c>
      <c r="C61" s="167">
        <v>2023.0</v>
      </c>
      <c r="D61" s="168" t="s">
        <v>15</v>
      </c>
      <c r="E61" s="169" t="s">
        <v>16</v>
      </c>
      <c r="F61" s="170">
        <v>0.7968471641377171</v>
      </c>
      <c r="G61" s="170">
        <v>0.7968471641377171</v>
      </c>
      <c r="H61" s="171">
        <v>3.0</v>
      </c>
      <c r="I61" s="170">
        <v>0.5</v>
      </c>
      <c r="J61" s="170">
        <v>0.5</v>
      </c>
      <c r="K61" s="170">
        <v>0.0</v>
      </c>
      <c r="L61" s="170">
        <v>0.0</v>
      </c>
      <c r="M61" s="170">
        <v>0.0</v>
      </c>
      <c r="N61" s="170">
        <v>0.0</v>
      </c>
      <c r="O61" s="170">
        <v>0.27377948389051543</v>
      </c>
      <c r="P61" s="170">
        <v>0.27377948389051543</v>
      </c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</row>
    <row r="62" ht="14.25" customHeight="1">
      <c r="A62" s="147"/>
      <c r="B62" s="67">
        <v>56.0</v>
      </c>
      <c r="C62" s="167"/>
      <c r="D62" s="168" t="s">
        <v>98</v>
      </c>
      <c r="E62" s="169" t="s">
        <v>99</v>
      </c>
      <c r="F62" s="170">
        <v>0.9152392638848016</v>
      </c>
      <c r="G62" s="170">
        <v>0.9152392638848016</v>
      </c>
      <c r="H62" s="171">
        <v>3.0</v>
      </c>
      <c r="I62" s="170">
        <v>0.3333333333333333</v>
      </c>
      <c r="J62" s="170">
        <v>0.3333333333333333</v>
      </c>
      <c r="K62" s="180">
        <v>0.0</v>
      </c>
      <c r="L62" s="180">
        <v>0.0</v>
      </c>
      <c r="M62" s="170">
        <v>6.780847090541939E-6</v>
      </c>
      <c r="N62" s="170">
        <v>6.780847090541939E-6</v>
      </c>
      <c r="O62" s="170">
        <v>0.21416261634740622</v>
      </c>
      <c r="P62" s="170">
        <v>0.21416261634740622</v>
      </c>
      <c r="Q62" s="55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</row>
    <row r="63" ht="14.25" customHeight="1">
      <c r="A63" s="147"/>
      <c r="B63" s="67">
        <v>57.0</v>
      </c>
      <c r="C63" s="167"/>
      <c r="D63" s="168" t="s">
        <v>78</v>
      </c>
      <c r="E63" s="169" t="s">
        <v>79</v>
      </c>
      <c r="F63" s="170">
        <v>0.5318543306204202</v>
      </c>
      <c r="G63" s="170">
        <v>0.5318543306204202</v>
      </c>
      <c r="H63" s="171">
        <v>3.0</v>
      </c>
      <c r="I63" s="170">
        <v>0.5</v>
      </c>
      <c r="J63" s="170">
        <v>0.5</v>
      </c>
      <c r="K63" s="170">
        <v>0.0</v>
      </c>
      <c r="L63" s="170">
        <v>0.0</v>
      </c>
      <c r="M63" s="170">
        <v>0.014342370783946096</v>
      </c>
      <c r="N63" s="170">
        <v>0.014342370783946096</v>
      </c>
      <c r="O63" s="170">
        <v>0.18642160478821543</v>
      </c>
      <c r="P63" s="170">
        <v>0.18642160478821543</v>
      </c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</row>
    <row r="64" ht="14.25" customHeight="1">
      <c r="A64" s="147"/>
      <c r="B64" s="67">
        <v>58.0</v>
      </c>
      <c r="C64" s="167"/>
      <c r="D64" s="168" t="s">
        <v>104</v>
      </c>
      <c r="E64" s="169" t="s">
        <v>105</v>
      </c>
      <c r="F64" s="170">
        <v>0.8169222011373884</v>
      </c>
      <c r="G64" s="170">
        <v>0.8169222011373884</v>
      </c>
      <c r="H64" s="171">
        <v>3.0</v>
      </c>
      <c r="I64" s="170">
        <v>0.42857142857142855</v>
      </c>
      <c r="J64" s="170">
        <v>0.42857142857142855</v>
      </c>
      <c r="K64" s="170">
        <v>0.16666666666666666</v>
      </c>
      <c r="L64" s="170">
        <v>0.16666666666666666</v>
      </c>
      <c r="M64" s="170">
        <v>0.09867992188839282</v>
      </c>
      <c r="N64" s="170">
        <v>0.09867992188839282</v>
      </c>
      <c r="O64" s="181">
        <v>0.3869420462514994</v>
      </c>
      <c r="P64" s="181">
        <v>0.3869420462514994</v>
      </c>
      <c r="Q64" s="55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</row>
    <row r="65" ht="14.25" customHeight="1">
      <c r="A65" s="147"/>
      <c r="B65" s="67">
        <v>59.0</v>
      </c>
      <c r="C65" s="167"/>
      <c r="D65" s="168" t="s">
        <v>18</v>
      </c>
      <c r="E65" s="169" t="s">
        <v>19</v>
      </c>
      <c r="F65" s="170">
        <v>0.5414375</v>
      </c>
      <c r="G65" s="170">
        <v>0.5414375</v>
      </c>
      <c r="H65" s="171">
        <v>3.0</v>
      </c>
      <c r="I65" s="170">
        <v>0.5</v>
      </c>
      <c r="J65" s="170">
        <v>0.5</v>
      </c>
      <c r="K65" s="170">
        <v>0.0</v>
      </c>
      <c r="L65" s="170">
        <v>0.0</v>
      </c>
      <c r="M65" s="170">
        <v>0.0010776333333333333</v>
      </c>
      <c r="N65" s="170">
        <v>0.0010776333333333333</v>
      </c>
      <c r="O65" s="170">
        <v>0.18824900019757596</v>
      </c>
      <c r="P65" s="170">
        <v>0.18824900019757596</v>
      </c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</row>
    <row r="66" ht="14.25" customHeight="1">
      <c r="A66" s="147"/>
      <c r="B66" s="67">
        <v>60.0</v>
      </c>
      <c r="C66" s="167"/>
      <c r="D66" s="168" t="s">
        <v>108</v>
      </c>
      <c r="E66" s="169" t="s">
        <v>109</v>
      </c>
      <c r="F66" s="180">
        <v>0.0021473916737468138</v>
      </c>
      <c r="G66" s="180">
        <v>0.0021473916737468138</v>
      </c>
      <c r="H66" s="171">
        <v>3.0</v>
      </c>
      <c r="I66" s="170">
        <v>0.5</v>
      </c>
      <c r="J66" s="170">
        <v>0.5</v>
      </c>
      <c r="K66" s="170">
        <v>0.0</v>
      </c>
      <c r="L66" s="170">
        <v>0.0</v>
      </c>
      <c r="M66" s="170">
        <v>0.015204910790144435</v>
      </c>
      <c r="N66" s="170">
        <v>0.015204910790144435</v>
      </c>
      <c r="O66" s="170">
        <v>0.20694716780182976</v>
      </c>
      <c r="P66" s="170">
        <v>0.20694716780182976</v>
      </c>
      <c r="Q66" s="55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</row>
    <row r="67" ht="14.25" customHeight="1">
      <c r="A67" s="147"/>
      <c r="B67" s="67">
        <v>61.0</v>
      </c>
      <c r="C67" s="167"/>
      <c r="D67" s="168" t="s">
        <v>222</v>
      </c>
      <c r="E67" s="169" t="s">
        <v>223</v>
      </c>
      <c r="F67" s="170">
        <v>0.8702033613445378</v>
      </c>
      <c r="G67" s="170">
        <v>0.8702033613445378</v>
      </c>
      <c r="H67" s="171">
        <v>3.0</v>
      </c>
      <c r="I67" s="170">
        <v>0.5</v>
      </c>
      <c r="J67" s="170">
        <v>0.5</v>
      </c>
      <c r="K67" s="170">
        <v>0.3333333333333333</v>
      </c>
      <c r="L67" s="170">
        <v>0.3333333333333333</v>
      </c>
      <c r="M67" s="170">
        <v>0.0</v>
      </c>
      <c r="N67" s="170">
        <v>0.0</v>
      </c>
      <c r="O67" s="170">
        <v>0.21568538163422457</v>
      </c>
      <c r="P67" s="170">
        <v>0.21568538163422457</v>
      </c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</row>
    <row r="68" ht="14.25" customHeight="1">
      <c r="A68" s="147"/>
      <c r="B68" s="67">
        <v>62.0</v>
      </c>
      <c r="C68" s="167"/>
      <c r="D68" s="168" t="s">
        <v>74</v>
      </c>
      <c r="E68" s="169" t="s">
        <v>75</v>
      </c>
      <c r="F68" s="170">
        <v>0.7688</v>
      </c>
      <c r="G68" s="170">
        <v>0.7688</v>
      </c>
      <c r="H68" s="171">
        <v>3.0</v>
      </c>
      <c r="I68" s="170">
        <v>0.3333333333333333</v>
      </c>
      <c r="J68" s="170">
        <v>0.3333333333333333</v>
      </c>
      <c r="K68" s="170">
        <v>0.2</v>
      </c>
      <c r="L68" s="170">
        <v>0.2</v>
      </c>
      <c r="M68" s="170">
        <v>0.010477569391459904</v>
      </c>
      <c r="N68" s="170">
        <v>0.010477569391459904</v>
      </c>
      <c r="O68" s="170">
        <v>0.21376573643459656</v>
      </c>
      <c r="P68" s="170">
        <v>0.21376573643459656</v>
      </c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</row>
    <row r="69" ht="14.25" customHeight="1">
      <c r="A69" s="147"/>
      <c r="B69" s="67">
        <v>63.0</v>
      </c>
      <c r="C69" s="167"/>
      <c r="D69" s="168" t="s">
        <v>28</v>
      </c>
      <c r="E69" s="169" t="s">
        <v>29</v>
      </c>
      <c r="F69" s="180">
        <v>0.0021473916737468138</v>
      </c>
      <c r="G69" s="182">
        <v>0.22834844769475982</v>
      </c>
      <c r="H69" s="171">
        <v>4.0</v>
      </c>
      <c r="I69" s="170">
        <v>0.3333333333333333</v>
      </c>
      <c r="J69" s="170">
        <v>0.3333333333333333</v>
      </c>
      <c r="K69" s="170">
        <v>0.0</v>
      </c>
      <c r="L69" s="170">
        <v>0.0</v>
      </c>
      <c r="M69" s="181">
        <v>0.7518337027452766</v>
      </c>
      <c r="N69" s="181">
        <v>0.7518337027452766</v>
      </c>
      <c r="O69" s="170">
        <v>0.20457762763282128</v>
      </c>
      <c r="P69" s="170">
        <v>0.20457762763282128</v>
      </c>
      <c r="Q69" s="55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</row>
    <row r="70" ht="14.25" customHeight="1">
      <c r="A70" s="147"/>
      <c r="B70" s="67">
        <v>64.0</v>
      </c>
      <c r="C70" s="167"/>
      <c r="D70" s="168" t="s">
        <v>24</v>
      </c>
      <c r="E70" s="169" t="s">
        <v>25</v>
      </c>
      <c r="F70" s="181">
        <v>0.9909161895962922</v>
      </c>
      <c r="G70" s="181">
        <v>0.9909161895962922</v>
      </c>
      <c r="H70" s="171">
        <v>3.0</v>
      </c>
      <c r="I70" s="170">
        <v>0.5</v>
      </c>
      <c r="J70" s="170">
        <v>0.5</v>
      </c>
      <c r="K70" s="170">
        <v>0.16666666666666666</v>
      </c>
      <c r="L70" s="170">
        <v>0.16666666666666666</v>
      </c>
      <c r="M70" s="170">
        <v>0.0</v>
      </c>
      <c r="N70" s="170">
        <v>0.0</v>
      </c>
      <c r="O70" s="170">
        <v>0.22650085004930118</v>
      </c>
      <c r="P70" s="170">
        <v>0.22650085004930118</v>
      </c>
      <c r="Q70" s="55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</row>
    <row r="71" ht="14.25" customHeight="1">
      <c r="A71" s="147"/>
      <c r="B71" s="67">
        <v>65.0</v>
      </c>
      <c r="C71" s="167"/>
      <c r="D71" s="168" t="s">
        <v>110</v>
      </c>
      <c r="E71" s="169" t="s">
        <v>111</v>
      </c>
      <c r="F71" s="170">
        <v>0.7911395586191797</v>
      </c>
      <c r="G71" s="170">
        <v>0.7911395586191797</v>
      </c>
      <c r="H71" s="171">
        <v>3.0</v>
      </c>
      <c r="I71" s="170">
        <v>0.5</v>
      </c>
      <c r="J71" s="170">
        <v>0.5</v>
      </c>
      <c r="K71" s="170">
        <v>0.0</v>
      </c>
      <c r="L71" s="170">
        <v>0.0</v>
      </c>
      <c r="M71" s="170">
        <v>1.9052788337479195E-4</v>
      </c>
      <c r="N71" s="170">
        <v>1.9052788337479195E-4</v>
      </c>
      <c r="O71" s="170">
        <v>0.23114724923119317</v>
      </c>
      <c r="P71" s="170">
        <v>0.23114724923119317</v>
      </c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</row>
    <row r="72" ht="14.25" customHeight="1">
      <c r="A72" s="147"/>
      <c r="B72" s="67">
        <v>66.0</v>
      </c>
      <c r="C72" s="167"/>
      <c r="D72" s="168" t="s">
        <v>26</v>
      </c>
      <c r="E72" s="169" t="s">
        <v>27</v>
      </c>
      <c r="F72" s="170">
        <v>0.8697155473170731</v>
      </c>
      <c r="G72" s="170">
        <v>0.8697155473170731</v>
      </c>
      <c r="H72" s="171">
        <v>3.0</v>
      </c>
      <c r="I72" s="170">
        <v>0.3333333333333333</v>
      </c>
      <c r="J72" s="170">
        <v>0.3333333333333333</v>
      </c>
      <c r="K72" s="170">
        <v>0.0</v>
      </c>
      <c r="L72" s="170">
        <v>0.0</v>
      </c>
      <c r="M72" s="170">
        <v>0.0</v>
      </c>
      <c r="N72" s="170">
        <v>0.0</v>
      </c>
      <c r="O72" s="170">
        <v>0.26405977624356824</v>
      </c>
      <c r="P72" s="170">
        <v>0.26405977624356824</v>
      </c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</row>
    <row r="73" ht="14.25" customHeight="1">
      <c r="A73" s="147"/>
      <c r="B73" s="67">
        <v>67.0</v>
      </c>
      <c r="C73" s="167"/>
      <c r="D73" s="168" t="s">
        <v>30</v>
      </c>
      <c r="E73" s="169" t="s">
        <v>31</v>
      </c>
      <c r="F73" s="170">
        <v>0.6638976353292952</v>
      </c>
      <c r="G73" s="170">
        <v>0.6638976353292952</v>
      </c>
      <c r="H73" s="171">
        <v>3.0</v>
      </c>
      <c r="I73" s="170">
        <v>0.4</v>
      </c>
      <c r="J73" s="170">
        <v>0.4</v>
      </c>
      <c r="K73" s="170">
        <v>0.0</v>
      </c>
      <c r="L73" s="170">
        <v>0.0</v>
      </c>
      <c r="M73" s="170">
        <v>0.0</v>
      </c>
      <c r="N73" s="170">
        <v>0.0</v>
      </c>
      <c r="O73" s="170">
        <v>0.20514680951555808</v>
      </c>
      <c r="P73" s="170">
        <v>0.20514680951555808</v>
      </c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</row>
    <row r="74" ht="14.25" customHeight="1">
      <c r="A74" s="147"/>
      <c r="B74" s="67">
        <v>68.0</v>
      </c>
      <c r="C74" s="167"/>
      <c r="D74" s="168" t="s">
        <v>120</v>
      </c>
      <c r="E74" s="169" t="s">
        <v>121</v>
      </c>
      <c r="F74" s="170">
        <v>0.20615002705326235</v>
      </c>
      <c r="G74" s="170">
        <v>0.20615002705326235</v>
      </c>
      <c r="H74" s="171">
        <v>3.0</v>
      </c>
      <c r="I74" s="181">
        <v>0.8</v>
      </c>
      <c r="J74" s="181">
        <v>0.8</v>
      </c>
      <c r="K74" s="170">
        <v>0.0</v>
      </c>
      <c r="L74" s="170">
        <v>0.0</v>
      </c>
      <c r="M74" s="170">
        <v>0.39634833089873334</v>
      </c>
      <c r="N74" s="170">
        <v>0.39634833089873334</v>
      </c>
      <c r="O74" s="170">
        <v>0.22766089288653504</v>
      </c>
      <c r="P74" s="170">
        <v>0.22766089288653504</v>
      </c>
      <c r="Q74" s="55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</row>
    <row r="75" ht="14.25" customHeight="1">
      <c r="A75" s="147"/>
      <c r="B75" s="67">
        <v>69.0</v>
      </c>
      <c r="C75" s="167"/>
      <c r="D75" s="168" t="s">
        <v>118</v>
      </c>
      <c r="E75" s="169" t="s">
        <v>119</v>
      </c>
      <c r="F75" s="170">
        <v>0.6929469874438349</v>
      </c>
      <c r="G75" s="170">
        <v>0.6929469874438349</v>
      </c>
      <c r="H75" s="171">
        <v>3.0</v>
      </c>
      <c r="I75" s="170">
        <v>0.4</v>
      </c>
      <c r="J75" s="170">
        <v>0.4</v>
      </c>
      <c r="K75" s="170">
        <v>0.25</v>
      </c>
      <c r="L75" s="170">
        <v>0.25</v>
      </c>
      <c r="M75" s="170">
        <v>0.0</v>
      </c>
      <c r="N75" s="170">
        <v>0.0</v>
      </c>
      <c r="O75" s="170">
        <v>0.22432204476945522</v>
      </c>
      <c r="P75" s="170">
        <v>0.22432204476945522</v>
      </c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</row>
    <row r="76" ht="14.25" customHeight="1">
      <c r="A76" s="147"/>
      <c r="B76" s="67">
        <v>70.0</v>
      </c>
      <c r="C76" s="167"/>
      <c r="D76" s="168" t="s">
        <v>32</v>
      </c>
      <c r="E76" s="169" t="s">
        <v>33</v>
      </c>
      <c r="F76" s="170">
        <v>0.7581191254315253</v>
      </c>
      <c r="G76" s="170">
        <v>0.7581191254315253</v>
      </c>
      <c r="H76" s="171">
        <v>3.0</v>
      </c>
      <c r="I76" s="170">
        <v>0.3333333333333333</v>
      </c>
      <c r="J76" s="170">
        <v>0.3333333333333333</v>
      </c>
      <c r="K76" s="170">
        <v>0.25</v>
      </c>
      <c r="L76" s="170">
        <v>0.25</v>
      </c>
      <c r="M76" s="170">
        <v>0.14610453076170266</v>
      </c>
      <c r="N76" s="170">
        <v>0.14610453076170266</v>
      </c>
      <c r="O76" s="170">
        <v>0.26211356226268867</v>
      </c>
      <c r="P76" s="170">
        <v>0.26211356226268867</v>
      </c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</row>
    <row r="77" ht="14.25" customHeight="1">
      <c r="A77" s="147"/>
      <c r="B77" s="67">
        <v>71.0</v>
      </c>
      <c r="C77" s="167"/>
      <c r="D77" s="168" t="s">
        <v>126</v>
      </c>
      <c r="E77" s="169" t="s">
        <v>127</v>
      </c>
      <c r="F77" s="170">
        <v>0.9552895087571622</v>
      </c>
      <c r="G77" s="170">
        <v>0.9552895087571622</v>
      </c>
      <c r="H77" s="171">
        <v>3.0</v>
      </c>
      <c r="I77" s="170">
        <v>0.4</v>
      </c>
      <c r="J77" s="170">
        <v>0.4</v>
      </c>
      <c r="K77" s="170">
        <v>0.25</v>
      </c>
      <c r="L77" s="170">
        <v>0.25</v>
      </c>
      <c r="M77" s="170">
        <v>0.0017122496898812688</v>
      </c>
      <c r="N77" s="170">
        <v>0.0017122496898812688</v>
      </c>
      <c r="O77" s="170">
        <v>0.2253056860703936</v>
      </c>
      <c r="P77" s="170">
        <v>0.2253056860703936</v>
      </c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</row>
    <row r="78" ht="14.25" customHeight="1">
      <c r="A78" s="147"/>
      <c r="B78" s="67">
        <v>72.0</v>
      </c>
      <c r="C78" s="167"/>
      <c r="D78" s="168" t="s">
        <v>134</v>
      </c>
      <c r="E78" s="169" t="s">
        <v>135</v>
      </c>
      <c r="F78" s="181">
        <v>0.9999430210702461</v>
      </c>
      <c r="G78" s="181">
        <v>0.9999430210702461</v>
      </c>
      <c r="H78" s="171">
        <v>3.0</v>
      </c>
      <c r="I78" s="170">
        <v>0.5</v>
      </c>
      <c r="J78" s="170">
        <v>0.5</v>
      </c>
      <c r="K78" s="170">
        <v>0.0</v>
      </c>
      <c r="L78" s="170">
        <v>0.0</v>
      </c>
      <c r="M78" s="170">
        <v>0.0</v>
      </c>
      <c r="N78" s="170">
        <v>0.0</v>
      </c>
      <c r="O78" s="170">
        <v>0.3529001036697334</v>
      </c>
      <c r="P78" s="170">
        <v>0.3529001036697334</v>
      </c>
      <c r="Q78" s="55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</row>
    <row r="79" ht="14.25" customHeight="1">
      <c r="A79" s="147"/>
      <c r="B79" s="67">
        <v>73.0</v>
      </c>
      <c r="C79" s="167"/>
      <c r="D79" s="168" t="s">
        <v>234</v>
      </c>
      <c r="E79" s="169" t="s">
        <v>235</v>
      </c>
      <c r="F79" s="170">
        <v>0.8947627083333334</v>
      </c>
      <c r="G79" s="170">
        <v>0.8947627083333334</v>
      </c>
      <c r="H79" s="171">
        <v>3.0</v>
      </c>
      <c r="I79" s="170">
        <v>0.5</v>
      </c>
      <c r="J79" s="170">
        <v>0.5</v>
      </c>
      <c r="K79" s="170">
        <v>0.3333333333333333</v>
      </c>
      <c r="L79" s="170">
        <v>0.3333333333333333</v>
      </c>
      <c r="M79" s="170">
        <v>0.0</v>
      </c>
      <c r="N79" s="170">
        <v>0.0</v>
      </c>
      <c r="O79" s="170">
        <v>0.23919029847463633</v>
      </c>
      <c r="P79" s="170">
        <v>0.23919029847463633</v>
      </c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</row>
    <row r="80" ht="14.25" customHeight="1">
      <c r="A80" s="147"/>
      <c r="B80" s="67">
        <v>74.0</v>
      </c>
      <c r="C80" s="167"/>
      <c r="D80" s="168" t="s">
        <v>40</v>
      </c>
      <c r="E80" s="169" t="s">
        <v>41</v>
      </c>
      <c r="F80" s="170">
        <v>0.899</v>
      </c>
      <c r="G80" s="170">
        <v>0.899</v>
      </c>
      <c r="H80" s="171">
        <v>3.0</v>
      </c>
      <c r="I80" s="170">
        <v>0.5</v>
      </c>
      <c r="J80" s="170">
        <v>0.5</v>
      </c>
      <c r="K80" s="170">
        <v>0.0</v>
      </c>
      <c r="L80" s="170">
        <v>0.0</v>
      </c>
      <c r="M80" s="170">
        <v>0.006728865831500431</v>
      </c>
      <c r="N80" s="170">
        <v>0.006728865831500431</v>
      </c>
      <c r="O80" s="170">
        <v>0.2239238014836719</v>
      </c>
      <c r="P80" s="170">
        <v>0.2239238014836719</v>
      </c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</row>
    <row r="81" ht="14.25" customHeight="1">
      <c r="A81" s="147"/>
      <c r="B81" s="67">
        <v>75.0</v>
      </c>
      <c r="C81" s="167"/>
      <c r="D81" s="168" t="s">
        <v>38</v>
      </c>
      <c r="E81" s="169" t="s">
        <v>39</v>
      </c>
      <c r="F81" s="170">
        <v>0.5071979290698662</v>
      </c>
      <c r="G81" s="170">
        <v>0.5071979290698662</v>
      </c>
      <c r="H81" s="171">
        <v>3.0</v>
      </c>
      <c r="I81" s="170">
        <v>0.3333333333333333</v>
      </c>
      <c r="J81" s="170">
        <v>0.3333333333333333</v>
      </c>
      <c r="K81" s="170">
        <v>0.0</v>
      </c>
      <c r="L81" s="170">
        <v>0.0</v>
      </c>
      <c r="M81" s="170">
        <v>0.17119292455435933</v>
      </c>
      <c r="N81" s="170">
        <v>0.17119292455435933</v>
      </c>
      <c r="O81" s="170">
        <v>0.2318588502949919</v>
      </c>
      <c r="P81" s="170">
        <v>0.2318588502949919</v>
      </c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</row>
    <row r="82" ht="14.25" customHeight="1">
      <c r="A82" s="147"/>
      <c r="B82" s="67">
        <v>76.0</v>
      </c>
      <c r="C82" s="167"/>
      <c r="D82" s="168" t="s">
        <v>140</v>
      </c>
      <c r="E82" s="169" t="s">
        <v>141</v>
      </c>
      <c r="F82" s="170">
        <v>0.6488905833333334</v>
      </c>
      <c r="G82" s="170">
        <v>0.6488905833333334</v>
      </c>
      <c r="H82" s="171">
        <v>3.0</v>
      </c>
      <c r="I82" s="170">
        <v>0.3333333333333333</v>
      </c>
      <c r="J82" s="170">
        <v>0.3333333333333333</v>
      </c>
      <c r="K82" s="170">
        <v>0.0</v>
      </c>
      <c r="L82" s="170">
        <v>0.0</v>
      </c>
      <c r="M82" s="170">
        <v>0.2667435166666667</v>
      </c>
      <c r="N82" s="170">
        <v>0.2667435166666667</v>
      </c>
      <c r="O82" s="181">
        <v>0.8023361776157734</v>
      </c>
      <c r="P82" s="181">
        <v>0.8023361776157734</v>
      </c>
      <c r="Q82" s="55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</row>
    <row r="83" ht="14.25" customHeight="1">
      <c r="A83" s="147"/>
      <c r="B83" s="67">
        <v>77.0</v>
      </c>
      <c r="C83" s="167"/>
      <c r="D83" s="168" t="s">
        <v>42</v>
      </c>
      <c r="E83" s="169" t="s">
        <v>43</v>
      </c>
      <c r="F83" s="170">
        <v>0.9535855591419256</v>
      </c>
      <c r="G83" s="170">
        <v>0.9535855591419256</v>
      </c>
      <c r="H83" s="171">
        <v>3.0</v>
      </c>
      <c r="I83" s="170">
        <v>0.5</v>
      </c>
      <c r="J83" s="170">
        <v>0.5</v>
      </c>
      <c r="K83" s="170">
        <v>0.14285714285714285</v>
      </c>
      <c r="L83" s="170">
        <v>0.14285714285714285</v>
      </c>
      <c r="M83" s="170">
        <v>0.0</v>
      </c>
      <c r="N83" s="170">
        <v>0.0</v>
      </c>
      <c r="O83" s="170">
        <v>0.21475669254432045</v>
      </c>
      <c r="P83" s="170">
        <v>0.21475669254432045</v>
      </c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</row>
    <row r="84" ht="14.25" customHeight="1">
      <c r="A84" s="147"/>
      <c r="B84" s="67">
        <v>78.0</v>
      </c>
      <c r="C84" s="167"/>
      <c r="D84" s="168" t="s">
        <v>44</v>
      </c>
      <c r="E84" s="169" t="s">
        <v>45</v>
      </c>
      <c r="F84" s="170">
        <v>0.8053294538080733</v>
      </c>
      <c r="G84" s="170">
        <v>0.8053294538080733</v>
      </c>
      <c r="H84" s="171">
        <v>3.0</v>
      </c>
      <c r="I84" s="170">
        <v>0.5</v>
      </c>
      <c r="J84" s="170">
        <v>0.5</v>
      </c>
      <c r="K84" s="170">
        <v>0.0</v>
      </c>
      <c r="L84" s="170">
        <v>0.0</v>
      </c>
      <c r="M84" s="170">
        <v>0.0</v>
      </c>
      <c r="N84" s="170">
        <v>0.0</v>
      </c>
      <c r="O84" s="170">
        <v>0.26034512240739005</v>
      </c>
      <c r="P84" s="170">
        <v>0.26034512240739005</v>
      </c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</row>
    <row r="85" ht="14.25" customHeight="1">
      <c r="A85" s="147"/>
      <c r="B85" s="67">
        <v>79.0</v>
      </c>
      <c r="C85" s="167"/>
      <c r="D85" s="168" t="s">
        <v>46</v>
      </c>
      <c r="E85" s="169" t="s">
        <v>47</v>
      </c>
      <c r="F85" s="170">
        <v>0.945399999988611</v>
      </c>
      <c r="G85" s="170">
        <v>0.945399999988611</v>
      </c>
      <c r="H85" s="171">
        <v>3.0</v>
      </c>
      <c r="I85" s="170">
        <v>0.375</v>
      </c>
      <c r="J85" s="170">
        <v>0.375</v>
      </c>
      <c r="K85" s="170">
        <v>0.10526315789473684</v>
      </c>
      <c r="L85" s="170">
        <v>0.10526315789473684</v>
      </c>
      <c r="M85" s="170">
        <v>1.571700417969446E-4</v>
      </c>
      <c r="N85" s="170">
        <v>1.571700417969446E-4</v>
      </c>
      <c r="O85" s="170">
        <v>0.2639481039979548</v>
      </c>
      <c r="P85" s="170">
        <v>0.2639481039979548</v>
      </c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</row>
    <row r="86" ht="14.25" customHeight="1">
      <c r="A86" s="147"/>
      <c r="B86" s="67">
        <v>80.0</v>
      </c>
      <c r="C86" s="167"/>
      <c r="D86" s="168" t="s">
        <v>150</v>
      </c>
      <c r="E86" s="169" t="s">
        <v>151</v>
      </c>
      <c r="F86" s="180">
        <v>0.07015902712815715</v>
      </c>
      <c r="G86" s="180">
        <v>0.07015902712815715</v>
      </c>
      <c r="H86" s="171">
        <v>3.0</v>
      </c>
      <c r="I86" s="170">
        <v>0.5</v>
      </c>
      <c r="J86" s="170">
        <v>0.5</v>
      </c>
      <c r="K86" s="170">
        <v>0.25</v>
      </c>
      <c r="L86" s="170">
        <v>0.25</v>
      </c>
      <c r="M86" s="181">
        <v>0.6488945701165065</v>
      </c>
      <c r="N86" s="181">
        <v>0.6488945701165065</v>
      </c>
      <c r="O86" s="170">
        <v>0.25552043953943526</v>
      </c>
      <c r="P86" s="170">
        <v>0.25552043953943526</v>
      </c>
      <c r="Q86" s="55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</row>
    <row r="87" ht="14.25" customHeight="1">
      <c r="A87" s="147"/>
      <c r="B87" s="67">
        <v>81.0</v>
      </c>
      <c r="C87" s="167"/>
      <c r="D87" s="168" t="s">
        <v>48</v>
      </c>
      <c r="E87" s="169" t="s">
        <v>49</v>
      </c>
      <c r="F87" s="170">
        <v>0.8971093441760294</v>
      </c>
      <c r="G87" s="170">
        <v>0.8971093441760294</v>
      </c>
      <c r="H87" s="171">
        <v>3.0</v>
      </c>
      <c r="I87" s="170">
        <v>0.5</v>
      </c>
      <c r="J87" s="170">
        <v>0.5</v>
      </c>
      <c r="K87" s="170">
        <v>0.0</v>
      </c>
      <c r="L87" s="170">
        <v>0.0</v>
      </c>
      <c r="M87" s="170">
        <v>2.3462945939794685E-4</v>
      </c>
      <c r="N87" s="170">
        <v>2.3462945939794685E-4</v>
      </c>
      <c r="O87" s="170">
        <v>0.25000455901626734</v>
      </c>
      <c r="P87" s="170">
        <v>0.25000455901626734</v>
      </c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</row>
    <row r="88" ht="14.25" customHeight="1">
      <c r="A88" s="147"/>
      <c r="B88" s="67">
        <v>82.0</v>
      </c>
      <c r="C88" s="167"/>
      <c r="D88" s="168" t="s">
        <v>178</v>
      </c>
      <c r="E88" s="169" t="s">
        <v>179</v>
      </c>
      <c r="F88" s="170">
        <v>0.9060962</v>
      </c>
      <c r="G88" s="170">
        <v>0.9060962</v>
      </c>
      <c r="H88" s="171">
        <v>3.0</v>
      </c>
      <c r="I88" s="170">
        <v>0.3333333333333333</v>
      </c>
      <c r="J88" s="170">
        <v>0.3333333333333333</v>
      </c>
      <c r="K88" s="180">
        <v>0.0</v>
      </c>
      <c r="L88" s="180">
        <v>0.0</v>
      </c>
      <c r="M88" s="170">
        <v>0.0032039333333333335</v>
      </c>
      <c r="N88" s="170">
        <v>0.0032039333333333335</v>
      </c>
      <c r="O88" s="170">
        <v>0.21983013181090055</v>
      </c>
      <c r="P88" s="170">
        <v>0.21983013181090055</v>
      </c>
      <c r="Q88" s="55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</row>
    <row r="89" ht="14.25" customHeight="1">
      <c r="A89" s="147"/>
      <c r="B89" s="67">
        <v>83.0</v>
      </c>
      <c r="C89" s="167"/>
      <c r="D89" s="168" t="s">
        <v>162</v>
      </c>
      <c r="E89" s="169" t="s">
        <v>163</v>
      </c>
      <c r="F89" s="170">
        <v>0.76190476375</v>
      </c>
      <c r="G89" s="170">
        <v>0.76190476375</v>
      </c>
      <c r="H89" s="171">
        <v>3.0</v>
      </c>
      <c r="I89" s="170">
        <v>0.5</v>
      </c>
      <c r="J89" s="170">
        <v>0.5</v>
      </c>
      <c r="K89" s="170">
        <v>0.25</v>
      </c>
      <c r="L89" s="170">
        <v>0.25</v>
      </c>
      <c r="M89" s="170">
        <v>0.02803175875</v>
      </c>
      <c r="N89" s="170">
        <v>0.02803175875</v>
      </c>
      <c r="O89" s="170">
        <v>0.21211369103980385</v>
      </c>
      <c r="P89" s="170">
        <v>0.21211369103980385</v>
      </c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</row>
    <row r="90" ht="14.25" customHeight="1">
      <c r="A90" s="147"/>
      <c r="B90" s="67">
        <v>84.0</v>
      </c>
      <c r="C90" s="167"/>
      <c r="D90" s="168" t="s">
        <v>68</v>
      </c>
      <c r="E90" s="169" t="s">
        <v>69</v>
      </c>
      <c r="F90" s="170">
        <v>0.5961901457055573</v>
      </c>
      <c r="G90" s="170">
        <v>0.5961901457055573</v>
      </c>
      <c r="H90" s="171">
        <v>3.0</v>
      </c>
      <c r="I90" s="170">
        <v>0.4</v>
      </c>
      <c r="J90" s="170">
        <v>0.4</v>
      </c>
      <c r="K90" s="170">
        <v>0.1111111111111111</v>
      </c>
      <c r="L90" s="170">
        <v>0.1111111111111111</v>
      </c>
      <c r="M90" s="170">
        <v>3.108520823394116E-5</v>
      </c>
      <c r="N90" s="170">
        <v>3.108520823394116E-5</v>
      </c>
      <c r="O90" s="180">
        <v>0.16540344471191298</v>
      </c>
      <c r="P90" s="180">
        <v>0.16540344471191298</v>
      </c>
      <c r="Q90" s="55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</row>
    <row r="91" ht="14.25" customHeight="1">
      <c r="A91" s="147"/>
      <c r="B91" s="67">
        <v>85.0</v>
      </c>
      <c r="C91" s="167"/>
      <c r="D91" s="168" t="s">
        <v>52</v>
      </c>
      <c r="E91" s="169" t="s">
        <v>53</v>
      </c>
      <c r="F91" s="170">
        <v>0.572704921049693</v>
      </c>
      <c r="G91" s="170">
        <v>0.572704921049693</v>
      </c>
      <c r="H91" s="171">
        <v>3.0</v>
      </c>
      <c r="I91" s="170">
        <v>0.6</v>
      </c>
      <c r="J91" s="170">
        <v>0.6</v>
      </c>
      <c r="K91" s="170">
        <v>0.0</v>
      </c>
      <c r="L91" s="170">
        <v>0.0</v>
      </c>
      <c r="M91" s="170">
        <v>0.0033923394751535457</v>
      </c>
      <c r="N91" s="170">
        <v>0.0033923394751535457</v>
      </c>
      <c r="O91" s="181">
        <v>0.43298713208750866</v>
      </c>
      <c r="P91" s="181">
        <v>0.43298713208750866</v>
      </c>
      <c r="Q91" s="55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</row>
    <row r="92" ht="14.25" customHeight="1">
      <c r="A92" s="147"/>
      <c r="B92" s="67">
        <v>86.0</v>
      </c>
      <c r="C92" s="167"/>
      <c r="D92" s="168" t="s">
        <v>58</v>
      </c>
      <c r="E92" s="169" t="s">
        <v>59</v>
      </c>
      <c r="F92" s="170">
        <v>0.9414764413263077</v>
      </c>
      <c r="G92" s="170">
        <v>0.9414764413263077</v>
      </c>
      <c r="H92" s="171">
        <v>3.0</v>
      </c>
      <c r="I92" s="170">
        <v>0.6666666666666666</v>
      </c>
      <c r="J92" s="170">
        <v>0.6666666666666666</v>
      </c>
      <c r="K92" s="170">
        <v>0.4</v>
      </c>
      <c r="L92" s="170">
        <v>0.4</v>
      </c>
      <c r="M92" s="170">
        <v>0.006713265169117038</v>
      </c>
      <c r="N92" s="170">
        <v>0.006713265169117038</v>
      </c>
      <c r="O92" s="170">
        <v>0.18810265119350883</v>
      </c>
      <c r="P92" s="170">
        <v>0.18810265119350883</v>
      </c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</row>
    <row r="93" ht="14.25" customHeight="1">
      <c r="A93" s="147"/>
      <c r="B93" s="67">
        <v>87.0</v>
      </c>
      <c r="C93" s="167"/>
      <c r="D93" s="168" t="s">
        <v>60</v>
      </c>
      <c r="E93" s="169" t="s">
        <v>61</v>
      </c>
      <c r="F93" s="170">
        <v>0.8931898433792121</v>
      </c>
      <c r="G93" s="170">
        <v>0.8931898433792121</v>
      </c>
      <c r="H93" s="171">
        <v>3.0</v>
      </c>
      <c r="I93" s="170">
        <v>0.4</v>
      </c>
      <c r="J93" s="170">
        <v>0.4</v>
      </c>
      <c r="K93" s="181">
        <v>0.6</v>
      </c>
      <c r="L93" s="181">
        <v>0.6</v>
      </c>
      <c r="M93" s="170">
        <v>0.0</v>
      </c>
      <c r="N93" s="170">
        <v>0.0</v>
      </c>
      <c r="O93" s="170">
        <v>0.23699524940617578</v>
      </c>
      <c r="P93" s="170">
        <v>0.23699524940617578</v>
      </c>
      <c r="Q93" s="55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</row>
    <row r="94" ht="14.25" customHeight="1">
      <c r="A94" s="147"/>
      <c r="B94" s="67">
        <v>88.0</v>
      </c>
      <c r="C94" s="167"/>
      <c r="D94" s="168" t="s">
        <v>62</v>
      </c>
      <c r="E94" s="169" t="s">
        <v>63</v>
      </c>
      <c r="F94" s="170">
        <v>0.5856202741604056</v>
      </c>
      <c r="G94" s="170">
        <v>0.5856202741604056</v>
      </c>
      <c r="H94" s="171">
        <v>3.0</v>
      </c>
      <c r="I94" s="170">
        <v>0.4</v>
      </c>
      <c r="J94" s="170">
        <v>0.4</v>
      </c>
      <c r="K94" s="170">
        <v>0.0</v>
      </c>
      <c r="L94" s="170">
        <v>0.0</v>
      </c>
      <c r="M94" s="170">
        <v>4.511399978552719E-4</v>
      </c>
      <c r="N94" s="170">
        <v>4.511399978552719E-4</v>
      </c>
      <c r="O94" s="181">
        <v>0.6529992019154031</v>
      </c>
      <c r="P94" s="181">
        <v>0.6529992019154031</v>
      </c>
      <c r="Q94" s="55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</row>
    <row r="95" ht="14.25" customHeight="1">
      <c r="A95" s="147"/>
      <c r="B95" s="67">
        <v>89.0</v>
      </c>
      <c r="C95" s="167"/>
      <c r="D95" s="168" t="s">
        <v>54</v>
      </c>
      <c r="E95" s="169" t="s">
        <v>55</v>
      </c>
      <c r="F95" s="170">
        <v>0.5907083858831151</v>
      </c>
      <c r="G95" s="170">
        <v>0.5907083858831151</v>
      </c>
      <c r="H95" s="171">
        <v>3.0</v>
      </c>
      <c r="I95" s="170">
        <v>0.4</v>
      </c>
      <c r="J95" s="170">
        <v>0.4</v>
      </c>
      <c r="K95" s="170">
        <v>0.0</v>
      </c>
      <c r="L95" s="170">
        <v>0.0</v>
      </c>
      <c r="M95" s="170">
        <v>0.2525240988717648</v>
      </c>
      <c r="N95" s="170">
        <v>0.2525240988717648</v>
      </c>
      <c r="O95" s="170">
        <v>0.2073528735891577</v>
      </c>
      <c r="P95" s="170">
        <v>0.2073528735891577</v>
      </c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</row>
    <row r="96" ht="14.25" customHeight="1">
      <c r="A96" s="147"/>
      <c r="B96" s="67">
        <v>90.0</v>
      </c>
      <c r="C96" s="167"/>
      <c r="D96" s="168" t="s">
        <v>190</v>
      </c>
      <c r="E96" s="169" t="s">
        <v>191</v>
      </c>
      <c r="F96" s="170">
        <v>0.9292897058908635</v>
      </c>
      <c r="G96" s="170">
        <v>0.9292897058908635</v>
      </c>
      <c r="H96" s="171">
        <v>3.0</v>
      </c>
      <c r="I96" s="170">
        <v>0.5</v>
      </c>
      <c r="J96" s="170">
        <v>0.5</v>
      </c>
      <c r="K96" s="170">
        <v>0.0</v>
      </c>
      <c r="L96" s="170">
        <v>0.0</v>
      </c>
      <c r="M96" s="170">
        <v>2.7536451943803564E-6</v>
      </c>
      <c r="N96" s="170">
        <v>2.7536451943803564E-6</v>
      </c>
      <c r="O96" s="170">
        <v>0.22483993518849085</v>
      </c>
      <c r="P96" s="170">
        <v>0.22483993518849085</v>
      </c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</row>
    <row r="97" ht="14.25" customHeight="1">
      <c r="A97" s="147"/>
      <c r="B97" s="67">
        <v>91.0</v>
      </c>
      <c r="C97" s="167"/>
      <c r="D97" s="168" t="s">
        <v>64</v>
      </c>
      <c r="E97" s="169" t="s">
        <v>65</v>
      </c>
      <c r="F97" s="170">
        <v>0.8827639946949603</v>
      </c>
      <c r="G97" s="170">
        <v>0.8827639946949603</v>
      </c>
      <c r="H97" s="171">
        <v>3.0</v>
      </c>
      <c r="I97" s="170">
        <v>0.5</v>
      </c>
      <c r="J97" s="170">
        <v>0.5</v>
      </c>
      <c r="K97" s="181">
        <v>0.42857142857142855</v>
      </c>
      <c r="L97" s="181">
        <v>0.42857142857142855</v>
      </c>
      <c r="M97" s="170">
        <v>0.08488063660477453</v>
      </c>
      <c r="N97" s="170">
        <v>0.08488063660477453</v>
      </c>
      <c r="O97" s="180">
        <v>0.167342434448286</v>
      </c>
      <c r="P97" s="180">
        <v>0.167342434448286</v>
      </c>
      <c r="Q97" s="55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</row>
    <row r="98" ht="14.25" customHeight="1">
      <c r="A98" s="147"/>
      <c r="B98" s="67">
        <v>92.0</v>
      </c>
      <c r="C98" s="167"/>
      <c r="D98" s="168" t="s">
        <v>184</v>
      </c>
      <c r="E98" s="169" t="s">
        <v>185</v>
      </c>
      <c r="F98" s="181">
        <v>0.992052568768794</v>
      </c>
      <c r="G98" s="181">
        <v>0.992052568768794</v>
      </c>
      <c r="H98" s="171">
        <v>3.0</v>
      </c>
      <c r="I98" s="180">
        <v>0.3333333333333333</v>
      </c>
      <c r="J98" s="180">
        <v>0.3333333333333333</v>
      </c>
      <c r="K98" s="181">
        <v>0.6</v>
      </c>
      <c r="L98" s="181">
        <v>0.6</v>
      </c>
      <c r="M98" s="180">
        <v>0.0</v>
      </c>
      <c r="N98" s="180">
        <v>0.0</v>
      </c>
      <c r="O98" s="170">
        <v>0.2212437502975395</v>
      </c>
      <c r="P98" s="170">
        <v>0.2212437502975395</v>
      </c>
      <c r="Q98" s="55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</row>
    <row r="99" ht="14.25" customHeight="1">
      <c r="A99" s="147"/>
      <c r="B99" s="67">
        <v>93.0</v>
      </c>
      <c r="C99" s="167"/>
      <c r="D99" s="168" t="s">
        <v>176</v>
      </c>
      <c r="E99" s="169" t="s">
        <v>177</v>
      </c>
      <c r="F99" s="170">
        <v>0.8969389199372056</v>
      </c>
      <c r="G99" s="170">
        <v>0.8969389199372056</v>
      </c>
      <c r="H99" s="171">
        <v>4.0</v>
      </c>
      <c r="I99" s="170">
        <v>0.6</v>
      </c>
      <c r="J99" s="170">
        <v>0.6</v>
      </c>
      <c r="K99" s="170">
        <v>0.0</v>
      </c>
      <c r="L99" s="170">
        <v>0.0</v>
      </c>
      <c r="M99" s="170">
        <v>0.0</v>
      </c>
      <c r="N99" s="170">
        <v>0.0</v>
      </c>
      <c r="O99" s="170">
        <v>0.3102445366124553</v>
      </c>
      <c r="P99" s="170">
        <v>0.3102445366124553</v>
      </c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</row>
    <row r="100" ht="14.25" customHeight="1">
      <c r="A100" s="147"/>
      <c r="B100" s="67">
        <v>94.0</v>
      </c>
      <c r="C100" s="167"/>
      <c r="D100" s="168" t="s">
        <v>72</v>
      </c>
      <c r="E100" s="169" t="s">
        <v>73</v>
      </c>
      <c r="F100" s="170">
        <v>0.945799072044658</v>
      </c>
      <c r="G100" s="170">
        <v>0.945799072044658</v>
      </c>
      <c r="H100" s="171">
        <v>3.0</v>
      </c>
      <c r="I100" s="170">
        <v>0.6666666666666666</v>
      </c>
      <c r="J100" s="170">
        <v>0.6666666666666666</v>
      </c>
      <c r="K100" s="170">
        <v>0.0</v>
      </c>
      <c r="L100" s="170">
        <v>0.0</v>
      </c>
      <c r="M100" s="170">
        <v>0.0</v>
      </c>
      <c r="N100" s="170">
        <v>0.0</v>
      </c>
      <c r="O100" s="181">
        <v>0.40779787855784927</v>
      </c>
      <c r="P100" s="181">
        <v>0.40779787855784927</v>
      </c>
      <c r="Q100" s="55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</row>
    <row r="101" ht="14.25" customHeight="1">
      <c r="A101" s="147"/>
      <c r="B101" s="67">
        <v>95.0</v>
      </c>
      <c r="C101" s="167"/>
      <c r="D101" s="168" t="s">
        <v>70</v>
      </c>
      <c r="E101" s="169" t="s">
        <v>71</v>
      </c>
      <c r="F101" s="170">
        <v>0.8743</v>
      </c>
      <c r="G101" s="170">
        <v>0.8743</v>
      </c>
      <c r="H101" s="171">
        <v>3.0</v>
      </c>
      <c r="I101" s="170">
        <v>0.3333333333333333</v>
      </c>
      <c r="J101" s="170">
        <v>0.3333333333333333</v>
      </c>
      <c r="K101" s="170">
        <v>0.1111111111111111</v>
      </c>
      <c r="L101" s="170">
        <v>0.1111111111111111</v>
      </c>
      <c r="M101" s="170">
        <v>5.93498226924047E-5</v>
      </c>
      <c r="N101" s="170">
        <v>5.93498226924047E-5</v>
      </c>
      <c r="O101" s="181">
        <v>0.37703511957136204</v>
      </c>
      <c r="P101" s="181">
        <v>0.37703511957136204</v>
      </c>
      <c r="Q101" s="55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</row>
    <row r="102" ht="14.25" customHeight="1">
      <c r="A102" s="147"/>
      <c r="B102" s="67">
        <v>96.0</v>
      </c>
      <c r="C102" s="167"/>
      <c r="D102" s="168" t="s">
        <v>202</v>
      </c>
      <c r="E102" s="169" t="s">
        <v>203</v>
      </c>
      <c r="F102" s="170">
        <v>0.9819441888813527</v>
      </c>
      <c r="G102" s="170">
        <v>0.9819441888813527</v>
      </c>
      <c r="H102" s="171">
        <v>3.0</v>
      </c>
      <c r="I102" s="170">
        <v>0.3333333333333333</v>
      </c>
      <c r="J102" s="170">
        <v>0.3333333333333333</v>
      </c>
      <c r="K102" s="170">
        <v>0.2</v>
      </c>
      <c r="L102" s="170">
        <v>0.2</v>
      </c>
      <c r="M102" s="170">
        <v>0.005407951321806091</v>
      </c>
      <c r="N102" s="170">
        <v>0.005407951321806091</v>
      </c>
      <c r="O102" s="170">
        <v>0.22000000000064154</v>
      </c>
      <c r="P102" s="170">
        <v>0.22000000000064154</v>
      </c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</row>
    <row r="103" ht="14.25" customHeight="1">
      <c r="A103" s="147"/>
      <c r="B103" s="67">
        <v>97.0</v>
      </c>
      <c r="C103" s="167"/>
      <c r="D103" s="168" t="s">
        <v>206</v>
      </c>
      <c r="E103" s="169" t="s">
        <v>207</v>
      </c>
      <c r="F103" s="170">
        <v>0.9239968319737425</v>
      </c>
      <c r="G103" s="170">
        <v>0.9239968319737425</v>
      </c>
      <c r="H103" s="171">
        <v>3.0</v>
      </c>
      <c r="I103" s="170">
        <v>0.42857142857142855</v>
      </c>
      <c r="J103" s="170">
        <v>0.42857142857142855</v>
      </c>
      <c r="K103" s="170">
        <v>0.0</v>
      </c>
      <c r="L103" s="170">
        <v>0.0</v>
      </c>
      <c r="M103" s="170">
        <v>0.0</v>
      </c>
      <c r="N103" s="170">
        <v>0.0</v>
      </c>
      <c r="O103" s="180">
        <v>0.17225936660756833</v>
      </c>
      <c r="P103" s="180">
        <v>0.17225936660756833</v>
      </c>
      <c r="Q103" s="55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</row>
    <row r="104" ht="14.25" customHeight="1">
      <c r="A104" s="147"/>
      <c r="B104" s="67">
        <v>98.0</v>
      </c>
      <c r="C104" s="167"/>
      <c r="D104" s="168" t="s">
        <v>76</v>
      </c>
      <c r="E104" s="169" t="s">
        <v>77</v>
      </c>
      <c r="F104" s="170">
        <v>0.7085371548556431</v>
      </c>
      <c r="G104" s="170">
        <v>0.7085371548556431</v>
      </c>
      <c r="H104" s="171">
        <v>3.0</v>
      </c>
      <c r="I104" s="170">
        <v>0.3333333333333333</v>
      </c>
      <c r="J104" s="170">
        <v>0.3333333333333333</v>
      </c>
      <c r="K104" s="170">
        <v>0.0</v>
      </c>
      <c r="L104" s="170">
        <v>0.0</v>
      </c>
      <c r="M104" s="170">
        <v>1.5748031496062993E-5</v>
      </c>
      <c r="N104" s="170">
        <v>1.5748031496062993E-5</v>
      </c>
      <c r="O104" s="181">
        <v>0.37693583379143225</v>
      </c>
      <c r="P104" s="181">
        <v>0.37693583379143225</v>
      </c>
      <c r="Q104" s="55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</row>
    <row r="105" ht="14.25" customHeight="1">
      <c r="A105" s="147"/>
      <c r="B105" s="67">
        <v>99.0</v>
      </c>
      <c r="C105" s="167"/>
      <c r="D105" s="168" t="s">
        <v>204</v>
      </c>
      <c r="E105" s="169" t="s">
        <v>205</v>
      </c>
      <c r="F105" s="170">
        <v>0.6353743511450382</v>
      </c>
      <c r="G105" s="170">
        <v>0.6353743511450382</v>
      </c>
      <c r="H105" s="171">
        <v>3.0</v>
      </c>
      <c r="I105" s="170">
        <v>0.5</v>
      </c>
      <c r="J105" s="170">
        <v>0.5</v>
      </c>
      <c r="K105" s="170">
        <v>0.0</v>
      </c>
      <c r="L105" s="170">
        <v>0.0</v>
      </c>
      <c r="M105" s="170">
        <v>0.03187083969465649</v>
      </c>
      <c r="N105" s="170">
        <v>0.03187083969465649</v>
      </c>
      <c r="O105" s="180">
        <v>0.1676397245172241</v>
      </c>
      <c r="P105" s="180">
        <v>0.1676397245172241</v>
      </c>
      <c r="Q105" s="55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</row>
    <row r="106" ht="14.25" customHeight="1">
      <c r="A106" s="147"/>
      <c r="B106" s="67">
        <v>100.0</v>
      </c>
      <c r="C106" s="167"/>
      <c r="D106" s="168" t="s">
        <v>82</v>
      </c>
      <c r="E106" s="169" t="s">
        <v>83</v>
      </c>
      <c r="F106" s="170">
        <v>0.8670394266930076</v>
      </c>
      <c r="G106" s="170">
        <v>0.8670394266930076</v>
      </c>
      <c r="H106" s="171">
        <v>3.0</v>
      </c>
      <c r="I106" s="170">
        <v>0.375</v>
      </c>
      <c r="J106" s="170">
        <v>0.375</v>
      </c>
      <c r="K106" s="170">
        <v>0.2</v>
      </c>
      <c r="L106" s="170">
        <v>0.2</v>
      </c>
      <c r="M106" s="170">
        <v>0.007229775132048594</v>
      </c>
      <c r="N106" s="170">
        <v>0.007229775132048594</v>
      </c>
      <c r="O106" s="180">
        <v>0.14416582779437206</v>
      </c>
      <c r="P106" s="180">
        <v>0.14416582779437206</v>
      </c>
      <c r="Q106" s="55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</row>
    <row r="107" ht="14.25" customHeight="1">
      <c r="A107" s="147"/>
      <c r="B107" s="67">
        <v>101.0</v>
      </c>
      <c r="C107" s="167"/>
      <c r="D107" s="168" t="s">
        <v>84</v>
      </c>
      <c r="E107" s="169" t="s">
        <v>85</v>
      </c>
      <c r="F107" s="170">
        <v>0.6379350039720659</v>
      </c>
      <c r="G107" s="170">
        <v>0.6379350039720659</v>
      </c>
      <c r="H107" s="171">
        <v>3.0</v>
      </c>
      <c r="I107" s="170">
        <v>0.3333333333333333</v>
      </c>
      <c r="J107" s="170">
        <v>0.3333333333333333</v>
      </c>
      <c r="K107" s="170">
        <v>0.0</v>
      </c>
      <c r="L107" s="170">
        <v>0.0</v>
      </c>
      <c r="M107" s="170">
        <v>0.0</v>
      </c>
      <c r="N107" s="170">
        <v>0.0</v>
      </c>
      <c r="O107" s="170">
        <v>0.22097081844012964</v>
      </c>
      <c r="P107" s="170">
        <v>0.22097081844012964</v>
      </c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</row>
    <row r="108" ht="14.25" customHeight="1">
      <c r="A108" s="147"/>
      <c r="B108" s="67">
        <v>102.0</v>
      </c>
      <c r="C108" s="167"/>
      <c r="D108" s="168" t="s">
        <v>212</v>
      </c>
      <c r="E108" s="169" t="s">
        <v>213</v>
      </c>
      <c r="F108" s="180">
        <v>0.067756640496988</v>
      </c>
      <c r="G108" s="182">
        <v>0.9767706449586442</v>
      </c>
      <c r="H108" s="171">
        <v>3.0</v>
      </c>
      <c r="I108" s="170">
        <v>0.4</v>
      </c>
      <c r="J108" s="170">
        <v>0.4</v>
      </c>
      <c r="K108" s="170">
        <v>0.3333333333333333</v>
      </c>
      <c r="L108" s="170">
        <v>0.3333333333333333</v>
      </c>
      <c r="M108" s="170">
        <v>0.002897409914231767</v>
      </c>
      <c r="N108" s="170">
        <v>0.002897409914231767</v>
      </c>
      <c r="O108" s="170">
        <v>0.24921236053547569</v>
      </c>
      <c r="P108" s="170">
        <v>0.24921236053547569</v>
      </c>
      <c r="Q108" s="55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</row>
    <row r="109" ht="14.25" customHeight="1">
      <c r="A109" s="147"/>
      <c r="B109" s="67">
        <v>103.0</v>
      </c>
      <c r="C109" s="167"/>
      <c r="D109" s="168" t="s">
        <v>88</v>
      </c>
      <c r="E109" s="169" t="s">
        <v>89</v>
      </c>
      <c r="F109" s="170">
        <v>0.803190142993543</v>
      </c>
      <c r="G109" s="170">
        <v>0.803190142993543</v>
      </c>
      <c r="H109" s="171">
        <v>3.0</v>
      </c>
      <c r="I109" s="170">
        <v>0.4</v>
      </c>
      <c r="J109" s="170">
        <v>0.4</v>
      </c>
      <c r="K109" s="170">
        <v>0.25</v>
      </c>
      <c r="L109" s="170">
        <v>0.25</v>
      </c>
      <c r="M109" s="170">
        <v>2.4058284755446214E-6</v>
      </c>
      <c r="N109" s="170">
        <v>2.4058284755446214E-6</v>
      </c>
      <c r="O109" s="170">
        <v>0.24325905801833808</v>
      </c>
      <c r="P109" s="170">
        <v>0.24325905801833808</v>
      </c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</row>
    <row r="110" ht="14.25" customHeight="1">
      <c r="A110" s="147"/>
      <c r="B110" s="67">
        <v>104.0</v>
      </c>
      <c r="C110" s="167"/>
      <c r="D110" s="168" t="s">
        <v>86</v>
      </c>
      <c r="E110" s="169" t="s">
        <v>87</v>
      </c>
      <c r="F110" s="170">
        <v>0.782703528596056</v>
      </c>
      <c r="G110" s="170">
        <v>0.782703528596056</v>
      </c>
      <c r="H110" s="171">
        <v>2.0</v>
      </c>
      <c r="I110" s="180">
        <v>0.3333333333333333</v>
      </c>
      <c r="J110" s="180">
        <v>0.3333333333333333</v>
      </c>
      <c r="K110" s="180">
        <v>0.0</v>
      </c>
      <c r="L110" s="180">
        <v>0.0</v>
      </c>
      <c r="M110" s="170">
        <v>0.3910670941570594</v>
      </c>
      <c r="N110" s="170">
        <v>0.3910670941570594</v>
      </c>
      <c r="O110" s="170">
        <v>0.21304796372285267</v>
      </c>
      <c r="P110" s="170">
        <v>0.21304796372285267</v>
      </c>
      <c r="Q110" s="55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</row>
    <row r="111" ht="14.25" customHeight="1">
      <c r="A111" s="147"/>
      <c r="B111" s="67">
        <v>105.0</v>
      </c>
      <c r="C111" s="167"/>
      <c r="D111" s="168" t="s">
        <v>226</v>
      </c>
      <c r="E111" s="169" t="s">
        <v>227</v>
      </c>
      <c r="F111" s="170">
        <v>0.407365271254638</v>
      </c>
      <c r="G111" s="170">
        <v>0.407365271254638</v>
      </c>
      <c r="H111" s="171">
        <v>3.0</v>
      </c>
      <c r="I111" s="170">
        <v>0.3333333333333333</v>
      </c>
      <c r="J111" s="170">
        <v>0.3333333333333333</v>
      </c>
      <c r="K111" s="170">
        <v>0.0</v>
      </c>
      <c r="L111" s="170">
        <v>0.0</v>
      </c>
      <c r="M111" s="170">
        <v>0.0</v>
      </c>
      <c r="N111" s="170">
        <v>0.0</v>
      </c>
      <c r="O111" s="181">
        <v>0.7248592031159534</v>
      </c>
      <c r="P111" s="181">
        <v>0.7248592031159534</v>
      </c>
      <c r="Q111" s="55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</row>
    <row r="112" ht="14.25" customHeight="1">
      <c r="A112" s="147"/>
      <c r="B112" s="67">
        <v>106.0</v>
      </c>
      <c r="C112" s="167"/>
      <c r="D112" s="168" t="s">
        <v>90</v>
      </c>
      <c r="E112" s="169" t="s">
        <v>91</v>
      </c>
      <c r="F112" s="170">
        <v>0.9699966563302752</v>
      </c>
      <c r="G112" s="170">
        <v>0.9699966563302752</v>
      </c>
      <c r="H112" s="171">
        <v>3.0</v>
      </c>
      <c r="I112" s="181">
        <v>0.8333333333333334</v>
      </c>
      <c r="J112" s="181">
        <v>0.8333333333333334</v>
      </c>
      <c r="K112" s="181">
        <v>0.45454545454545453</v>
      </c>
      <c r="L112" s="181">
        <v>0.45454545454545453</v>
      </c>
      <c r="M112" s="170">
        <v>0.0</v>
      </c>
      <c r="N112" s="170">
        <v>0.0</v>
      </c>
      <c r="O112" s="170">
        <v>0.2258890696943957</v>
      </c>
      <c r="P112" s="170">
        <v>0.2258890696943957</v>
      </c>
      <c r="Q112" s="55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</row>
    <row r="113" ht="14.25" customHeight="1">
      <c r="A113" s="147"/>
      <c r="B113" s="67">
        <v>107.0</v>
      </c>
      <c r="C113" s="167"/>
      <c r="D113" s="168" t="s">
        <v>92</v>
      </c>
      <c r="E113" s="169" t="s">
        <v>93</v>
      </c>
      <c r="F113" s="170">
        <v>0.8494856887298747</v>
      </c>
      <c r="G113" s="170">
        <v>0.8494856887298747</v>
      </c>
      <c r="H113" s="171">
        <v>3.0</v>
      </c>
      <c r="I113" s="170">
        <v>0.4</v>
      </c>
      <c r="J113" s="170">
        <v>0.4</v>
      </c>
      <c r="K113" s="170">
        <v>0.2</v>
      </c>
      <c r="L113" s="170">
        <v>0.2</v>
      </c>
      <c r="M113" s="170">
        <v>2.4381335718545022E-4</v>
      </c>
      <c r="N113" s="170">
        <v>2.4381335718545022E-4</v>
      </c>
      <c r="O113" s="170">
        <v>0.24305391463147372</v>
      </c>
      <c r="P113" s="170">
        <v>0.24305391463147372</v>
      </c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</row>
    <row r="114" ht="14.25" customHeight="1">
      <c r="A114" s="147"/>
      <c r="B114" s="67">
        <v>108.0</v>
      </c>
      <c r="C114" s="167"/>
      <c r="D114" s="168" t="s">
        <v>94</v>
      </c>
      <c r="E114" s="169" t="s">
        <v>95</v>
      </c>
      <c r="F114" s="170">
        <v>0.6429371816141938</v>
      </c>
      <c r="G114" s="170">
        <v>0.6429371816141938</v>
      </c>
      <c r="H114" s="171">
        <v>3.0</v>
      </c>
      <c r="I114" s="170">
        <v>0.5</v>
      </c>
      <c r="J114" s="170">
        <v>0.5</v>
      </c>
      <c r="K114" s="170">
        <v>0.0</v>
      </c>
      <c r="L114" s="170">
        <v>0.0</v>
      </c>
      <c r="M114" s="181">
        <v>0.6314601107258943</v>
      </c>
      <c r="N114" s="181">
        <v>0.6314601107258943</v>
      </c>
      <c r="O114" s="170">
        <v>0.2206974265236464</v>
      </c>
      <c r="P114" s="170">
        <v>0.2206974265236464</v>
      </c>
      <c r="Q114" s="55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</row>
    <row r="115" ht="14.25" customHeight="1">
      <c r="A115" s="147"/>
      <c r="B115" s="67">
        <v>109.0</v>
      </c>
      <c r="C115" s="172">
        <v>2024.0</v>
      </c>
      <c r="D115" s="168" t="s">
        <v>15</v>
      </c>
      <c r="E115" s="169" t="s">
        <v>16</v>
      </c>
      <c r="F115" s="170">
        <v>0.7968471641377171</v>
      </c>
      <c r="G115" s="170">
        <v>0.7968471641377171</v>
      </c>
      <c r="H115" s="171">
        <v>3.0</v>
      </c>
      <c r="I115" s="170">
        <v>0.5</v>
      </c>
      <c r="J115" s="170">
        <v>0.5</v>
      </c>
      <c r="K115" s="170">
        <v>0.14285714285714285</v>
      </c>
      <c r="L115" s="170">
        <v>0.14285714285714285</v>
      </c>
      <c r="M115" s="170">
        <v>0.0</v>
      </c>
      <c r="N115" s="170">
        <v>0.0</v>
      </c>
      <c r="O115" s="170">
        <v>0.3048072552263216</v>
      </c>
      <c r="P115" s="170">
        <v>0.3048072552263216</v>
      </c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</row>
    <row r="116" ht="14.25" customHeight="1">
      <c r="A116" s="147"/>
      <c r="B116" s="67">
        <v>110.0</v>
      </c>
      <c r="C116" s="172"/>
      <c r="D116" s="168" t="s">
        <v>98</v>
      </c>
      <c r="E116" s="169" t="s">
        <v>99</v>
      </c>
      <c r="F116" s="170">
        <v>0.913544052112166</v>
      </c>
      <c r="G116" s="170">
        <v>0.913544052112166</v>
      </c>
      <c r="H116" s="171">
        <v>3.0</v>
      </c>
      <c r="I116" s="170">
        <v>0.3333333333333333</v>
      </c>
      <c r="J116" s="170">
        <v>0.3333333333333333</v>
      </c>
      <c r="K116" s="170">
        <v>0.3333333333333333</v>
      </c>
      <c r="L116" s="170">
        <v>0.3333333333333333</v>
      </c>
      <c r="M116" s="170">
        <v>2.017302009436227E-5</v>
      </c>
      <c r="N116" s="170">
        <v>2.017302009436227E-5</v>
      </c>
      <c r="O116" s="170">
        <v>0.21020535307789998</v>
      </c>
      <c r="P116" s="170">
        <v>0.21020535307789998</v>
      </c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</row>
    <row r="117" ht="14.25" customHeight="1">
      <c r="A117" s="147"/>
      <c r="B117" s="67">
        <v>111.0</v>
      </c>
      <c r="C117" s="172"/>
      <c r="D117" s="168" t="s">
        <v>78</v>
      </c>
      <c r="E117" s="169" t="s">
        <v>79</v>
      </c>
      <c r="F117" s="170">
        <v>0.5318543306204202</v>
      </c>
      <c r="G117" s="170">
        <v>0.5318543306204202</v>
      </c>
      <c r="H117" s="171">
        <v>3.0</v>
      </c>
      <c r="I117" s="170">
        <v>0.5</v>
      </c>
      <c r="J117" s="170">
        <v>0.5</v>
      </c>
      <c r="K117" s="170">
        <v>0.0</v>
      </c>
      <c r="L117" s="170">
        <v>0.0</v>
      </c>
      <c r="M117" s="170">
        <v>0.013513823815494456</v>
      </c>
      <c r="N117" s="170">
        <v>0.013513823815494456</v>
      </c>
      <c r="O117" s="170">
        <v>0.19742409684498596</v>
      </c>
      <c r="P117" s="170">
        <v>0.19742409684498596</v>
      </c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</row>
    <row r="118" ht="14.25" customHeight="1">
      <c r="A118" s="147"/>
      <c r="B118" s="67">
        <v>112.0</v>
      </c>
      <c r="C118" s="172"/>
      <c r="D118" s="168" t="s">
        <v>104</v>
      </c>
      <c r="E118" s="169" t="s">
        <v>105</v>
      </c>
      <c r="F118" s="170">
        <v>0.8169222011373884</v>
      </c>
      <c r="G118" s="170">
        <v>0.8169222011373884</v>
      </c>
      <c r="H118" s="171">
        <v>3.0</v>
      </c>
      <c r="I118" s="180">
        <v>0.2857142857142857</v>
      </c>
      <c r="J118" s="180">
        <v>0.2857142857142857</v>
      </c>
      <c r="K118" s="170">
        <v>0.16666666666666666</v>
      </c>
      <c r="L118" s="170">
        <v>0.16666666666666666</v>
      </c>
      <c r="M118" s="170">
        <v>0.09867992188839282</v>
      </c>
      <c r="N118" s="170">
        <v>0.09867992188839282</v>
      </c>
      <c r="O118" s="181">
        <v>0.3765919101477513</v>
      </c>
      <c r="P118" s="181">
        <v>0.3765919101477513</v>
      </c>
      <c r="Q118" s="55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</row>
    <row r="119" ht="14.25" customHeight="1">
      <c r="A119" s="147"/>
      <c r="B119" s="67">
        <v>113.0</v>
      </c>
      <c r="C119" s="172"/>
      <c r="D119" s="168" t="s">
        <v>18</v>
      </c>
      <c r="E119" s="169" t="s">
        <v>19</v>
      </c>
      <c r="F119" s="170">
        <v>0.6537283666666667</v>
      </c>
      <c r="G119" s="170">
        <v>0.6537283666666667</v>
      </c>
      <c r="H119" s="171">
        <v>3.0</v>
      </c>
      <c r="I119" s="170">
        <v>0.5</v>
      </c>
      <c r="J119" s="170">
        <v>0.5</v>
      </c>
      <c r="K119" s="170">
        <v>0.0</v>
      </c>
      <c r="L119" s="170">
        <v>0.0</v>
      </c>
      <c r="M119" s="170">
        <v>0.0010196333333333334</v>
      </c>
      <c r="N119" s="170">
        <v>0.0010196333333333334</v>
      </c>
      <c r="O119" s="170">
        <v>0.2397650863903311</v>
      </c>
      <c r="P119" s="170">
        <v>0.2397650863903311</v>
      </c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</row>
    <row r="120" ht="14.25" customHeight="1">
      <c r="A120" s="147"/>
      <c r="B120" s="67">
        <v>114.0</v>
      </c>
      <c r="C120" s="172"/>
      <c r="D120" s="168" t="s">
        <v>108</v>
      </c>
      <c r="E120" s="169" t="s">
        <v>109</v>
      </c>
      <c r="F120" s="180">
        <v>0.009251384876805437</v>
      </c>
      <c r="G120" s="180">
        <v>0.009251384876805437</v>
      </c>
      <c r="H120" s="171">
        <v>3.0</v>
      </c>
      <c r="I120" s="170">
        <v>0.5</v>
      </c>
      <c r="J120" s="170">
        <v>0.5</v>
      </c>
      <c r="K120" s="170">
        <v>0.0</v>
      </c>
      <c r="L120" s="170">
        <v>0.0</v>
      </c>
      <c r="M120" s="170">
        <v>0.015204910790144435</v>
      </c>
      <c r="N120" s="170">
        <v>0.015204910790144435</v>
      </c>
      <c r="O120" s="170">
        <v>0.21999999999628408</v>
      </c>
      <c r="P120" s="170">
        <v>0.21999999999628408</v>
      </c>
      <c r="Q120" s="55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</row>
    <row r="121" ht="14.25" customHeight="1">
      <c r="A121" s="147"/>
      <c r="B121" s="67">
        <v>115.0</v>
      </c>
      <c r="C121" s="172"/>
      <c r="D121" s="168" t="s">
        <v>222</v>
      </c>
      <c r="E121" s="169" t="s">
        <v>223</v>
      </c>
      <c r="F121" s="170">
        <v>0.8702033613445378</v>
      </c>
      <c r="G121" s="170">
        <v>0.8702033613445378</v>
      </c>
      <c r="H121" s="171">
        <v>3.0</v>
      </c>
      <c r="I121" s="170">
        <v>0.5</v>
      </c>
      <c r="J121" s="170">
        <v>0.5</v>
      </c>
      <c r="K121" s="170">
        <v>0.3333333333333333</v>
      </c>
      <c r="L121" s="170">
        <v>0.3333333333333333</v>
      </c>
      <c r="M121" s="170">
        <v>0.0</v>
      </c>
      <c r="N121" s="170">
        <v>0.0</v>
      </c>
      <c r="O121" s="170">
        <v>0.21273518039409076</v>
      </c>
      <c r="P121" s="170">
        <v>0.21273518039409076</v>
      </c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</row>
    <row r="122" ht="14.25" customHeight="1">
      <c r="A122" s="147"/>
      <c r="B122" s="67">
        <v>116.0</v>
      </c>
      <c r="C122" s="172"/>
      <c r="D122" s="168" t="s">
        <v>74</v>
      </c>
      <c r="E122" s="169" t="s">
        <v>75</v>
      </c>
      <c r="F122" s="170">
        <v>0.7688</v>
      </c>
      <c r="G122" s="170">
        <v>0.7688</v>
      </c>
      <c r="H122" s="171">
        <v>3.0</v>
      </c>
      <c r="I122" s="170">
        <v>0.3333333333333333</v>
      </c>
      <c r="J122" s="170">
        <v>0.3333333333333333</v>
      </c>
      <c r="K122" s="170">
        <v>0.2</v>
      </c>
      <c r="L122" s="170">
        <v>0.2</v>
      </c>
      <c r="M122" s="170">
        <v>0.010477569391459904</v>
      </c>
      <c r="N122" s="170">
        <v>0.010477569391459904</v>
      </c>
      <c r="O122" s="170">
        <v>0.21628905877173715</v>
      </c>
      <c r="P122" s="170">
        <v>0.21628905877173715</v>
      </c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</row>
    <row r="123" ht="14.25" customHeight="1">
      <c r="A123" s="147"/>
      <c r="B123" s="67">
        <v>117.0</v>
      </c>
      <c r="C123" s="172"/>
      <c r="D123" s="168" t="s">
        <v>28</v>
      </c>
      <c r="E123" s="169" t="s">
        <v>29</v>
      </c>
      <c r="F123" s="180">
        <v>0.009251384876805437</v>
      </c>
      <c r="G123" s="182">
        <v>0.23710114430532386</v>
      </c>
      <c r="H123" s="171">
        <v>4.0</v>
      </c>
      <c r="I123" s="170">
        <v>0.3333333333333333</v>
      </c>
      <c r="J123" s="170">
        <v>0.3333333333333333</v>
      </c>
      <c r="K123" s="170">
        <v>0.0</v>
      </c>
      <c r="L123" s="170">
        <v>0.0</v>
      </c>
      <c r="M123" s="181">
        <v>0.7508106120937661</v>
      </c>
      <c r="N123" s="181">
        <v>0.7508106120937661</v>
      </c>
      <c r="O123" s="170">
        <v>0.20231447843124079</v>
      </c>
      <c r="P123" s="170">
        <v>0.20231447843124079</v>
      </c>
      <c r="Q123" s="55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</row>
    <row r="124" ht="14.25" customHeight="1">
      <c r="A124" s="147"/>
      <c r="B124" s="67">
        <v>118.0</v>
      </c>
      <c r="C124" s="172"/>
      <c r="D124" s="168" t="s">
        <v>24</v>
      </c>
      <c r="E124" s="169" t="s">
        <v>25</v>
      </c>
      <c r="F124" s="181">
        <v>0.9901454492621051</v>
      </c>
      <c r="G124" s="181">
        <v>0.9901454492621051</v>
      </c>
      <c r="H124" s="171">
        <v>3.0</v>
      </c>
      <c r="I124" s="170">
        <v>0.5</v>
      </c>
      <c r="J124" s="170">
        <v>0.5</v>
      </c>
      <c r="K124" s="170">
        <v>0.16666666666666666</v>
      </c>
      <c r="L124" s="170">
        <v>0.16666666666666666</v>
      </c>
      <c r="M124" s="170">
        <v>0.0</v>
      </c>
      <c r="N124" s="170">
        <v>0.0</v>
      </c>
      <c r="O124" s="170">
        <v>0.2938829842891099</v>
      </c>
      <c r="P124" s="170">
        <v>0.2938829842891099</v>
      </c>
      <c r="Q124" s="55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</row>
    <row r="125" ht="14.25" customHeight="1">
      <c r="A125" s="147"/>
      <c r="B125" s="67">
        <v>119.0</v>
      </c>
      <c r="C125" s="172"/>
      <c r="D125" s="168" t="s">
        <v>110</v>
      </c>
      <c r="E125" s="169" t="s">
        <v>111</v>
      </c>
      <c r="F125" s="181">
        <v>0.9998094721166252</v>
      </c>
      <c r="G125" s="181">
        <v>0.9998094721166252</v>
      </c>
      <c r="H125" s="171">
        <v>3.0</v>
      </c>
      <c r="I125" s="170">
        <v>0.5</v>
      </c>
      <c r="J125" s="170">
        <v>0.5</v>
      </c>
      <c r="K125" s="170">
        <v>0.0</v>
      </c>
      <c r="L125" s="170">
        <v>0.0</v>
      </c>
      <c r="M125" s="170">
        <v>1.9052788337479195E-4</v>
      </c>
      <c r="N125" s="170">
        <v>1.9052788337479195E-4</v>
      </c>
      <c r="O125" s="170">
        <v>0.28693926550211923</v>
      </c>
      <c r="P125" s="170">
        <v>0.28693926550211923</v>
      </c>
      <c r="Q125" s="55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</row>
    <row r="126" ht="14.25" customHeight="1">
      <c r="A126" s="147"/>
      <c r="B126" s="67">
        <v>120.0</v>
      </c>
      <c r="C126" s="172"/>
      <c r="D126" s="168" t="s">
        <v>26</v>
      </c>
      <c r="E126" s="169" t="s">
        <v>27</v>
      </c>
      <c r="F126" s="170">
        <v>0.8689508907317073</v>
      </c>
      <c r="G126" s="170">
        <v>0.8689508907317073</v>
      </c>
      <c r="H126" s="171">
        <v>3.0</v>
      </c>
      <c r="I126" s="170">
        <v>0.3333333333333333</v>
      </c>
      <c r="J126" s="170">
        <v>0.3333333333333333</v>
      </c>
      <c r="K126" s="170">
        <v>0.0</v>
      </c>
      <c r="L126" s="170">
        <v>0.0</v>
      </c>
      <c r="M126" s="170">
        <v>0.0</v>
      </c>
      <c r="N126" s="170">
        <v>0.0</v>
      </c>
      <c r="O126" s="170">
        <v>0.2583171895021684</v>
      </c>
      <c r="P126" s="170">
        <v>0.2583171895021684</v>
      </c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</row>
    <row r="127" ht="14.25" customHeight="1">
      <c r="A127" s="147"/>
      <c r="B127" s="67">
        <v>121.0</v>
      </c>
      <c r="C127" s="172"/>
      <c r="D127" s="168" t="s">
        <v>30</v>
      </c>
      <c r="E127" s="169" t="s">
        <v>31</v>
      </c>
      <c r="F127" s="170">
        <v>0.6603960200037706</v>
      </c>
      <c r="G127" s="170">
        <v>0.6603960200037706</v>
      </c>
      <c r="H127" s="171">
        <v>3.0</v>
      </c>
      <c r="I127" s="170">
        <v>0.4</v>
      </c>
      <c r="J127" s="170">
        <v>0.4</v>
      </c>
      <c r="K127" s="170">
        <v>0.0</v>
      </c>
      <c r="L127" s="170">
        <v>0.0</v>
      </c>
      <c r="M127" s="170">
        <v>0.0</v>
      </c>
      <c r="N127" s="170">
        <v>0.0</v>
      </c>
      <c r="O127" s="170">
        <v>0.2149887331979941</v>
      </c>
      <c r="P127" s="170">
        <v>0.2149887331979941</v>
      </c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</row>
    <row r="128" ht="14.25" customHeight="1">
      <c r="A128" s="147"/>
      <c r="B128" s="67">
        <v>122.0</v>
      </c>
      <c r="C128" s="172"/>
      <c r="D128" s="168" t="s">
        <v>120</v>
      </c>
      <c r="E128" s="169" t="s">
        <v>121</v>
      </c>
      <c r="F128" s="170">
        <v>0.27558938280646095</v>
      </c>
      <c r="G128" s="170">
        <v>0.27558938280646095</v>
      </c>
      <c r="H128" s="171">
        <v>3.0</v>
      </c>
      <c r="I128" s="170">
        <v>0.6666666666666666</v>
      </c>
      <c r="J128" s="170">
        <v>0.6666666666666666</v>
      </c>
      <c r="K128" s="170">
        <v>0.0</v>
      </c>
      <c r="L128" s="170">
        <v>0.0</v>
      </c>
      <c r="M128" s="170">
        <v>0.34925683669155344</v>
      </c>
      <c r="N128" s="170">
        <v>0.34925683669155344</v>
      </c>
      <c r="O128" s="170">
        <v>0.2187819482985249</v>
      </c>
      <c r="P128" s="170">
        <v>0.2187819482985249</v>
      </c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</row>
    <row r="129" ht="14.25" customHeight="1">
      <c r="A129" s="147"/>
      <c r="B129" s="67">
        <v>123.0</v>
      </c>
      <c r="C129" s="172"/>
      <c r="D129" s="168" t="s">
        <v>118</v>
      </c>
      <c r="E129" s="169" t="s">
        <v>119</v>
      </c>
      <c r="F129" s="170">
        <v>0.6929469874438349</v>
      </c>
      <c r="G129" s="170">
        <v>0.6929469874438349</v>
      </c>
      <c r="H129" s="171">
        <v>3.0</v>
      </c>
      <c r="I129" s="170">
        <v>0.4</v>
      </c>
      <c r="J129" s="170">
        <v>0.4</v>
      </c>
      <c r="K129" s="170">
        <v>0.25</v>
      </c>
      <c r="L129" s="170">
        <v>0.25</v>
      </c>
      <c r="M129" s="170">
        <v>0.0</v>
      </c>
      <c r="N129" s="170">
        <v>0.0</v>
      </c>
      <c r="O129" s="170">
        <v>0.21824733666703489</v>
      </c>
      <c r="P129" s="170">
        <v>0.21824733666703489</v>
      </c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</row>
    <row r="130" ht="14.25" customHeight="1">
      <c r="A130" s="147"/>
      <c r="B130" s="67">
        <v>124.0</v>
      </c>
      <c r="C130" s="172"/>
      <c r="D130" s="168" t="s">
        <v>32</v>
      </c>
      <c r="E130" s="169" t="s">
        <v>33</v>
      </c>
      <c r="F130" s="170">
        <v>0.7717414128723272</v>
      </c>
      <c r="G130" s="170">
        <v>0.7717414128723272</v>
      </c>
      <c r="H130" s="171">
        <v>3.0</v>
      </c>
      <c r="I130" s="170">
        <v>0.3333333333333333</v>
      </c>
      <c r="J130" s="170">
        <v>0.3333333333333333</v>
      </c>
      <c r="K130" s="170">
        <v>0.25</v>
      </c>
      <c r="L130" s="170">
        <v>0.25</v>
      </c>
      <c r="M130" s="170">
        <v>0.14610453076170266</v>
      </c>
      <c r="N130" s="170">
        <v>0.14610453076170266</v>
      </c>
      <c r="O130" s="170">
        <v>0.30404642393732745</v>
      </c>
      <c r="P130" s="170">
        <v>0.30404642393732745</v>
      </c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</row>
    <row r="131" ht="14.25" customHeight="1">
      <c r="A131" s="147"/>
      <c r="B131" s="67">
        <v>125.0</v>
      </c>
      <c r="C131" s="172"/>
      <c r="D131" s="168" t="s">
        <v>126</v>
      </c>
      <c r="E131" s="169" t="s">
        <v>127</v>
      </c>
      <c r="F131" s="170">
        <v>0.9796233788912517</v>
      </c>
      <c r="G131" s="170">
        <v>0.9796233788912517</v>
      </c>
      <c r="H131" s="171">
        <v>3.0</v>
      </c>
      <c r="I131" s="170">
        <v>0.4</v>
      </c>
      <c r="J131" s="170">
        <v>0.4</v>
      </c>
      <c r="K131" s="170">
        <v>0.25</v>
      </c>
      <c r="L131" s="170">
        <v>0.25</v>
      </c>
      <c r="M131" s="170">
        <v>0.0017122496898812688</v>
      </c>
      <c r="N131" s="170">
        <v>0.0017122496898812688</v>
      </c>
      <c r="O131" s="170">
        <v>0.2281642966086723</v>
      </c>
      <c r="P131" s="170">
        <v>0.2281642966086723</v>
      </c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</row>
    <row r="132" ht="14.25" customHeight="1">
      <c r="A132" s="147"/>
      <c r="B132" s="67">
        <v>126.0</v>
      </c>
      <c r="C132" s="172"/>
      <c r="D132" s="168" t="s">
        <v>134</v>
      </c>
      <c r="E132" s="169" t="s">
        <v>135</v>
      </c>
      <c r="F132" s="181">
        <v>0.9999600761754287</v>
      </c>
      <c r="G132" s="181">
        <v>0.9999600761754287</v>
      </c>
      <c r="H132" s="171">
        <v>3.0</v>
      </c>
      <c r="I132" s="170">
        <v>0.5</v>
      </c>
      <c r="J132" s="170">
        <v>0.5</v>
      </c>
      <c r="K132" s="170">
        <v>0.0</v>
      </c>
      <c r="L132" s="170">
        <v>0.0</v>
      </c>
      <c r="M132" s="170">
        <v>0.0</v>
      </c>
      <c r="N132" s="170">
        <v>0.0</v>
      </c>
      <c r="O132" s="170">
        <v>0.26233438649412</v>
      </c>
      <c r="P132" s="170">
        <v>0.26233438649412</v>
      </c>
      <c r="Q132" s="55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</row>
    <row r="133" ht="14.25" customHeight="1">
      <c r="A133" s="147"/>
      <c r="B133" s="67">
        <v>127.0</v>
      </c>
      <c r="C133" s="172"/>
      <c r="D133" s="168" t="s">
        <v>234</v>
      </c>
      <c r="E133" s="169" t="s">
        <v>235</v>
      </c>
      <c r="F133" s="170">
        <v>0.8946377083333333</v>
      </c>
      <c r="G133" s="170">
        <v>0.8946377083333333</v>
      </c>
      <c r="H133" s="171">
        <v>3.0</v>
      </c>
      <c r="I133" s="170">
        <v>0.5</v>
      </c>
      <c r="J133" s="170">
        <v>0.5</v>
      </c>
      <c r="K133" s="170">
        <v>0.3333333333333333</v>
      </c>
      <c r="L133" s="170">
        <v>0.3333333333333333</v>
      </c>
      <c r="M133" s="170">
        <v>0.0</v>
      </c>
      <c r="N133" s="170">
        <v>0.0</v>
      </c>
      <c r="O133" s="170">
        <v>0.34087917820684327</v>
      </c>
      <c r="P133" s="170">
        <v>0.34087917820684327</v>
      </c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</row>
    <row r="134" ht="14.25" customHeight="1">
      <c r="A134" s="147"/>
      <c r="B134" s="67">
        <v>128.0</v>
      </c>
      <c r="C134" s="172"/>
      <c r="D134" s="168" t="s">
        <v>40</v>
      </c>
      <c r="E134" s="169" t="s">
        <v>41</v>
      </c>
      <c r="F134" s="170">
        <v>0.897</v>
      </c>
      <c r="G134" s="170">
        <v>0.897</v>
      </c>
      <c r="H134" s="171">
        <v>3.0</v>
      </c>
      <c r="I134" s="170">
        <v>0.5</v>
      </c>
      <c r="J134" s="170">
        <v>0.5</v>
      </c>
      <c r="K134" s="170">
        <v>0.0</v>
      </c>
      <c r="L134" s="170">
        <v>0.0</v>
      </c>
      <c r="M134" s="170">
        <v>0.006728865831500431</v>
      </c>
      <c r="N134" s="170">
        <v>0.006728865831500431</v>
      </c>
      <c r="O134" s="170">
        <v>0.29970283187938485</v>
      </c>
      <c r="P134" s="170">
        <v>0.29970283187938485</v>
      </c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</row>
    <row r="135" ht="14.25" customHeight="1">
      <c r="A135" s="147"/>
      <c r="B135" s="67">
        <v>129.0</v>
      </c>
      <c r="C135" s="172"/>
      <c r="D135" s="168" t="s">
        <v>38</v>
      </c>
      <c r="E135" s="169" t="s">
        <v>39</v>
      </c>
      <c r="F135" s="170">
        <v>0.42233454181683083</v>
      </c>
      <c r="G135" s="170">
        <v>0.42233454181683083</v>
      </c>
      <c r="H135" s="171">
        <v>3.0</v>
      </c>
      <c r="I135" s="170">
        <v>0.3333333333333333</v>
      </c>
      <c r="J135" s="170">
        <v>0.3333333333333333</v>
      </c>
      <c r="K135" s="170">
        <v>0.0</v>
      </c>
      <c r="L135" s="170">
        <v>0.0</v>
      </c>
      <c r="M135" s="170">
        <v>0.19727164616332515</v>
      </c>
      <c r="N135" s="170">
        <v>0.19727164616332515</v>
      </c>
      <c r="O135" s="170">
        <v>0.1998936554892899</v>
      </c>
      <c r="P135" s="170">
        <v>0.1998936554892899</v>
      </c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</row>
    <row r="136" ht="14.25" customHeight="1">
      <c r="A136" s="147"/>
      <c r="B136" s="67">
        <v>130.0</v>
      </c>
      <c r="C136" s="172"/>
      <c r="D136" s="168" t="s">
        <v>140</v>
      </c>
      <c r="E136" s="169" t="s">
        <v>141</v>
      </c>
      <c r="F136" s="170">
        <v>0.6488905833333334</v>
      </c>
      <c r="G136" s="170">
        <v>0.6488905833333334</v>
      </c>
      <c r="H136" s="171">
        <v>3.0</v>
      </c>
      <c r="I136" s="170">
        <v>0.3333333333333333</v>
      </c>
      <c r="J136" s="170">
        <v>0.3333333333333333</v>
      </c>
      <c r="K136" s="170">
        <v>0.0</v>
      </c>
      <c r="L136" s="170">
        <v>0.0</v>
      </c>
      <c r="M136" s="170">
        <v>0.2667435166666667</v>
      </c>
      <c r="N136" s="170">
        <v>0.2667435166666667</v>
      </c>
      <c r="O136" s="170">
        <v>0.22923021822627854</v>
      </c>
      <c r="P136" s="170">
        <v>0.22923021822627854</v>
      </c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</row>
    <row r="137" ht="14.25" customHeight="1">
      <c r="A137" s="147"/>
      <c r="B137" s="67">
        <v>131.0</v>
      </c>
      <c r="C137" s="172"/>
      <c r="D137" s="168" t="s">
        <v>42</v>
      </c>
      <c r="E137" s="169" t="s">
        <v>43</v>
      </c>
      <c r="F137" s="170">
        <v>0.9504530037325608</v>
      </c>
      <c r="G137" s="170">
        <v>0.9504530037325608</v>
      </c>
      <c r="H137" s="171">
        <v>3.0</v>
      </c>
      <c r="I137" s="170">
        <v>0.5</v>
      </c>
      <c r="J137" s="170">
        <v>0.5</v>
      </c>
      <c r="K137" s="170">
        <v>0.125</v>
      </c>
      <c r="L137" s="170">
        <v>0.125</v>
      </c>
      <c r="M137" s="170">
        <v>0.0</v>
      </c>
      <c r="N137" s="170">
        <v>0.0</v>
      </c>
      <c r="O137" s="170">
        <v>0.23485297590257548</v>
      </c>
      <c r="P137" s="170">
        <v>0.23485297590257548</v>
      </c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</row>
    <row r="138" ht="14.25" customHeight="1">
      <c r="A138" s="147"/>
      <c r="B138" s="67">
        <v>132.0</v>
      </c>
      <c r="C138" s="172"/>
      <c r="D138" s="168" t="s">
        <v>44</v>
      </c>
      <c r="E138" s="169" t="s">
        <v>45</v>
      </c>
      <c r="F138" s="170">
        <v>0.8053294538080733</v>
      </c>
      <c r="G138" s="170">
        <v>0.8053294538080733</v>
      </c>
      <c r="H138" s="171">
        <v>3.0</v>
      </c>
      <c r="I138" s="170">
        <v>0.5</v>
      </c>
      <c r="J138" s="170">
        <v>0.5</v>
      </c>
      <c r="K138" s="170">
        <v>0.0</v>
      </c>
      <c r="L138" s="170">
        <v>0.0</v>
      </c>
      <c r="M138" s="170">
        <v>0.0</v>
      </c>
      <c r="N138" s="170">
        <v>0.0</v>
      </c>
      <c r="O138" s="170">
        <v>0.23357520524878955</v>
      </c>
      <c r="P138" s="170">
        <v>0.23357520524878955</v>
      </c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</row>
    <row r="139" ht="14.25" customHeight="1">
      <c r="A139" s="147"/>
      <c r="B139" s="67">
        <v>133.0</v>
      </c>
      <c r="C139" s="172"/>
      <c r="D139" s="168" t="s">
        <v>46</v>
      </c>
      <c r="E139" s="169" t="s">
        <v>47</v>
      </c>
      <c r="F139" s="170">
        <v>0.965200000022778</v>
      </c>
      <c r="G139" s="170">
        <v>0.965200000022778</v>
      </c>
      <c r="H139" s="171">
        <v>3.0</v>
      </c>
      <c r="I139" s="170">
        <v>0.375</v>
      </c>
      <c r="J139" s="170">
        <v>0.375</v>
      </c>
      <c r="K139" s="170">
        <v>0.10526315789473684</v>
      </c>
      <c r="L139" s="170">
        <v>0.10526315789473684</v>
      </c>
      <c r="M139" s="170">
        <v>1.571700417969446E-4</v>
      </c>
      <c r="N139" s="170">
        <v>1.571700417969446E-4</v>
      </c>
      <c r="O139" s="170">
        <v>0.23253149600153336</v>
      </c>
      <c r="P139" s="170">
        <v>0.23253149600153336</v>
      </c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</row>
    <row r="140" ht="14.25" customHeight="1">
      <c r="A140" s="147"/>
      <c r="B140" s="67">
        <v>134.0</v>
      </c>
      <c r="C140" s="172"/>
      <c r="D140" s="168" t="s">
        <v>150</v>
      </c>
      <c r="E140" s="169" t="s">
        <v>151</v>
      </c>
      <c r="F140" s="180">
        <v>0.07015902712815715</v>
      </c>
      <c r="G140" s="180">
        <v>0.07015902712815715</v>
      </c>
      <c r="H140" s="171">
        <v>3.0</v>
      </c>
      <c r="I140" s="170">
        <v>0.5</v>
      </c>
      <c r="J140" s="170">
        <v>0.5</v>
      </c>
      <c r="K140" s="170">
        <v>0.25</v>
      </c>
      <c r="L140" s="170">
        <v>0.25</v>
      </c>
      <c r="M140" s="181">
        <v>0.6766732927970065</v>
      </c>
      <c r="N140" s="181">
        <v>0.6766732927970065</v>
      </c>
      <c r="O140" s="170">
        <v>0.27713527322252823</v>
      </c>
      <c r="P140" s="170">
        <v>0.27713527322252823</v>
      </c>
      <c r="Q140" s="55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</row>
    <row r="141" ht="14.25" customHeight="1">
      <c r="A141" s="147"/>
      <c r="B141" s="67">
        <v>135.0</v>
      </c>
      <c r="C141" s="172"/>
      <c r="D141" s="168" t="s">
        <v>48</v>
      </c>
      <c r="E141" s="169" t="s">
        <v>49</v>
      </c>
      <c r="F141" s="170">
        <v>0.9320082820146833</v>
      </c>
      <c r="G141" s="170">
        <v>0.9320082820146833</v>
      </c>
      <c r="H141" s="171">
        <v>3.0</v>
      </c>
      <c r="I141" s="170">
        <v>0.5</v>
      </c>
      <c r="J141" s="170">
        <v>0.5</v>
      </c>
      <c r="K141" s="170">
        <v>0.0</v>
      </c>
      <c r="L141" s="170">
        <v>0.0</v>
      </c>
      <c r="M141" s="170">
        <v>2.1245759800248774E-4</v>
      </c>
      <c r="N141" s="170">
        <v>2.1245759800248774E-4</v>
      </c>
      <c r="O141" s="170">
        <v>0.24263604710817377</v>
      </c>
      <c r="P141" s="170">
        <v>0.24263604710817377</v>
      </c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</row>
    <row r="142" ht="14.25" customHeight="1">
      <c r="A142" s="147"/>
      <c r="B142" s="67">
        <v>136.0</v>
      </c>
      <c r="C142" s="172"/>
      <c r="D142" s="168" t="s">
        <v>178</v>
      </c>
      <c r="E142" s="169" t="s">
        <v>179</v>
      </c>
      <c r="F142" s="170">
        <v>0.9063164666666667</v>
      </c>
      <c r="G142" s="170">
        <v>0.9063164666666667</v>
      </c>
      <c r="H142" s="171">
        <v>3.0</v>
      </c>
      <c r="I142" s="170">
        <v>0.3333333333333333</v>
      </c>
      <c r="J142" s="170">
        <v>0.3333333333333333</v>
      </c>
      <c r="K142" s="180">
        <v>0.0</v>
      </c>
      <c r="L142" s="180">
        <v>0.0</v>
      </c>
      <c r="M142" s="170">
        <v>0.005294933333333333</v>
      </c>
      <c r="N142" s="170">
        <v>0.005294933333333333</v>
      </c>
      <c r="O142" s="170">
        <v>0.21030452379418688</v>
      </c>
      <c r="P142" s="170">
        <v>0.21030452379418688</v>
      </c>
      <c r="Q142" s="55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</row>
    <row r="143" ht="14.25" customHeight="1">
      <c r="A143" s="147"/>
      <c r="B143" s="67">
        <v>137.0</v>
      </c>
      <c r="C143" s="172"/>
      <c r="D143" s="168" t="s">
        <v>162</v>
      </c>
      <c r="E143" s="169" t="s">
        <v>163</v>
      </c>
      <c r="F143" s="170">
        <v>0.76190476375</v>
      </c>
      <c r="G143" s="170">
        <v>0.76190476375</v>
      </c>
      <c r="H143" s="171">
        <v>3.0</v>
      </c>
      <c r="I143" s="170">
        <v>0.3333333333333333</v>
      </c>
      <c r="J143" s="170">
        <v>0.3333333333333333</v>
      </c>
      <c r="K143" s="170">
        <v>0.2</v>
      </c>
      <c r="L143" s="170">
        <v>0.2</v>
      </c>
      <c r="M143" s="170">
        <v>0.02803175875</v>
      </c>
      <c r="N143" s="170">
        <v>0.02803175875</v>
      </c>
      <c r="O143" s="170">
        <v>0.2102816829532586</v>
      </c>
      <c r="P143" s="170">
        <v>0.2102816829532586</v>
      </c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</row>
    <row r="144" ht="14.25" customHeight="1">
      <c r="A144" s="147"/>
      <c r="B144" s="67">
        <v>138.0</v>
      </c>
      <c r="C144" s="172"/>
      <c r="D144" s="168" t="s">
        <v>68</v>
      </c>
      <c r="E144" s="169" t="s">
        <v>69</v>
      </c>
      <c r="F144" s="170">
        <v>0.5961901457055573</v>
      </c>
      <c r="G144" s="170">
        <v>0.5961901457055573</v>
      </c>
      <c r="H144" s="171">
        <v>3.0</v>
      </c>
      <c r="I144" s="170">
        <v>0.4</v>
      </c>
      <c r="J144" s="170">
        <v>0.4</v>
      </c>
      <c r="K144" s="170">
        <v>0.2222222222222222</v>
      </c>
      <c r="L144" s="170">
        <v>0.2222222222222222</v>
      </c>
      <c r="M144" s="170">
        <v>3.108520823394116E-5</v>
      </c>
      <c r="N144" s="170">
        <v>3.108520823394116E-5</v>
      </c>
      <c r="O144" s="180">
        <v>0.16773271864969633</v>
      </c>
      <c r="P144" s="180">
        <v>0.16773271864969633</v>
      </c>
      <c r="Q144" s="55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</row>
    <row r="145" ht="14.25" customHeight="1">
      <c r="A145" s="147"/>
      <c r="B145" s="67">
        <v>139.0</v>
      </c>
      <c r="C145" s="172"/>
      <c r="D145" s="168" t="s">
        <v>52</v>
      </c>
      <c r="E145" s="169" t="s">
        <v>53</v>
      </c>
      <c r="F145" s="170">
        <v>0.572704921049693</v>
      </c>
      <c r="G145" s="170">
        <v>0.572704921049693</v>
      </c>
      <c r="H145" s="171">
        <v>3.0</v>
      </c>
      <c r="I145" s="170">
        <v>0.6</v>
      </c>
      <c r="J145" s="170">
        <v>0.6</v>
      </c>
      <c r="K145" s="170">
        <v>0.0</v>
      </c>
      <c r="L145" s="170">
        <v>0.0</v>
      </c>
      <c r="M145" s="170">
        <v>0.0036022780569514236</v>
      </c>
      <c r="N145" s="170">
        <v>0.0036022780569514236</v>
      </c>
      <c r="O145" s="170">
        <v>0.23537341113667312</v>
      </c>
      <c r="P145" s="170">
        <v>0.23537341113667312</v>
      </c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</row>
    <row r="146" ht="14.25" customHeight="1">
      <c r="A146" s="147"/>
      <c r="B146" s="67">
        <v>140.0</v>
      </c>
      <c r="C146" s="172"/>
      <c r="D146" s="168" t="s">
        <v>58</v>
      </c>
      <c r="E146" s="169" t="s">
        <v>59</v>
      </c>
      <c r="F146" s="170">
        <v>0.9601259036304355</v>
      </c>
      <c r="G146" s="170">
        <v>0.9601259036304355</v>
      </c>
      <c r="H146" s="171">
        <v>3.0</v>
      </c>
      <c r="I146" s="170">
        <v>0.6666666666666666</v>
      </c>
      <c r="J146" s="170">
        <v>0.6666666666666666</v>
      </c>
      <c r="K146" s="170">
        <v>0.4</v>
      </c>
      <c r="L146" s="170">
        <v>0.4</v>
      </c>
      <c r="M146" s="170">
        <v>0.006713265169117038</v>
      </c>
      <c r="N146" s="170">
        <v>0.006713265169117038</v>
      </c>
      <c r="O146" s="170">
        <v>0.2775405415669743</v>
      </c>
      <c r="P146" s="170">
        <v>0.2775405415669743</v>
      </c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</row>
    <row r="147" ht="14.25" customHeight="1">
      <c r="A147" s="147"/>
      <c r="B147" s="67">
        <v>141.0</v>
      </c>
      <c r="C147" s="172"/>
      <c r="D147" s="168" t="s">
        <v>60</v>
      </c>
      <c r="E147" s="169" t="s">
        <v>61</v>
      </c>
      <c r="F147" s="170">
        <v>0.8931898433792121</v>
      </c>
      <c r="G147" s="170">
        <v>0.8931898433792121</v>
      </c>
      <c r="H147" s="171">
        <v>3.0</v>
      </c>
      <c r="I147" s="170">
        <v>0.4</v>
      </c>
      <c r="J147" s="170">
        <v>0.4</v>
      </c>
      <c r="K147" s="181">
        <v>0.5</v>
      </c>
      <c r="L147" s="181">
        <v>0.5</v>
      </c>
      <c r="M147" s="170">
        <v>0.0</v>
      </c>
      <c r="N147" s="170">
        <v>0.0</v>
      </c>
      <c r="O147" s="170">
        <v>0.21111467176454013</v>
      </c>
      <c r="P147" s="170">
        <v>0.21111467176454013</v>
      </c>
      <c r="Q147" s="55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</row>
    <row r="148" ht="14.25" customHeight="1">
      <c r="A148" s="147"/>
      <c r="B148" s="67">
        <v>142.0</v>
      </c>
      <c r="C148" s="172"/>
      <c r="D148" s="168" t="s">
        <v>62</v>
      </c>
      <c r="E148" s="169" t="s">
        <v>63</v>
      </c>
      <c r="F148" s="170">
        <v>0.5856202741604056</v>
      </c>
      <c r="G148" s="170">
        <v>0.5856202741604056</v>
      </c>
      <c r="H148" s="171">
        <v>3.0</v>
      </c>
      <c r="I148" s="170">
        <v>0.3333333333333333</v>
      </c>
      <c r="J148" s="170">
        <v>0.3333333333333333</v>
      </c>
      <c r="K148" s="170">
        <v>0.0</v>
      </c>
      <c r="L148" s="170">
        <v>0.0</v>
      </c>
      <c r="M148" s="170">
        <v>0.003047330517673179</v>
      </c>
      <c r="N148" s="170">
        <v>0.003047330517673179</v>
      </c>
      <c r="O148" s="181">
        <v>0.4305956615969822</v>
      </c>
      <c r="P148" s="181">
        <v>0.4305956615969822</v>
      </c>
      <c r="Q148" s="55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</row>
    <row r="149" ht="14.25" customHeight="1">
      <c r="A149" s="147"/>
      <c r="B149" s="67">
        <v>143.0</v>
      </c>
      <c r="C149" s="172"/>
      <c r="D149" s="168" t="s">
        <v>54</v>
      </c>
      <c r="E149" s="169" t="s">
        <v>55</v>
      </c>
      <c r="F149" s="170">
        <v>0.5907083858831151</v>
      </c>
      <c r="G149" s="170">
        <v>0.5907083858831151</v>
      </c>
      <c r="H149" s="171">
        <v>3.0</v>
      </c>
      <c r="I149" s="170">
        <v>0.4</v>
      </c>
      <c r="J149" s="170">
        <v>0.4</v>
      </c>
      <c r="K149" s="170">
        <v>0.0</v>
      </c>
      <c r="L149" s="170">
        <v>0.0</v>
      </c>
      <c r="M149" s="170">
        <v>0.25263181980498645</v>
      </c>
      <c r="N149" s="170">
        <v>0.25263181980498645</v>
      </c>
      <c r="O149" s="170">
        <v>0.20958696556491668</v>
      </c>
      <c r="P149" s="170">
        <v>0.20958696556491668</v>
      </c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</row>
    <row r="150" ht="14.25" customHeight="1">
      <c r="A150" s="147"/>
      <c r="B150" s="67">
        <v>144.0</v>
      </c>
      <c r="C150" s="172"/>
      <c r="D150" s="168" t="s">
        <v>190</v>
      </c>
      <c r="E150" s="169" t="s">
        <v>191</v>
      </c>
      <c r="F150" s="170">
        <v>0.881402090575309</v>
      </c>
      <c r="G150" s="170">
        <v>0.881402090575309</v>
      </c>
      <c r="H150" s="171">
        <v>3.0</v>
      </c>
      <c r="I150" s="170">
        <v>0.5</v>
      </c>
      <c r="J150" s="170">
        <v>0.5</v>
      </c>
      <c r="K150" s="170">
        <v>0.0</v>
      </c>
      <c r="L150" s="170">
        <v>0.0</v>
      </c>
      <c r="M150" s="170">
        <v>2.7536451943803564E-6</v>
      </c>
      <c r="N150" s="170">
        <v>2.7536451943803564E-6</v>
      </c>
      <c r="O150" s="170">
        <v>0.2223652192809251</v>
      </c>
      <c r="P150" s="170">
        <v>0.2223652192809251</v>
      </c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</row>
    <row r="151" ht="14.25" customHeight="1">
      <c r="A151" s="147"/>
      <c r="B151" s="67">
        <v>145.0</v>
      </c>
      <c r="C151" s="172"/>
      <c r="D151" s="168" t="s">
        <v>64</v>
      </c>
      <c r="E151" s="169" t="s">
        <v>65</v>
      </c>
      <c r="F151" s="170">
        <v>0.8827796923076923</v>
      </c>
      <c r="G151" s="170">
        <v>0.8827796923076923</v>
      </c>
      <c r="H151" s="171">
        <v>3.0</v>
      </c>
      <c r="I151" s="170">
        <v>0.6666666666666666</v>
      </c>
      <c r="J151" s="170">
        <v>0.6666666666666666</v>
      </c>
      <c r="K151" s="181">
        <v>0.42857142857142855</v>
      </c>
      <c r="L151" s="181">
        <v>0.42857142857142855</v>
      </c>
      <c r="M151" s="170">
        <v>0.08488063660477453</v>
      </c>
      <c r="N151" s="170">
        <v>0.08488063660477453</v>
      </c>
      <c r="O151" s="170">
        <v>0.20150141002321187</v>
      </c>
      <c r="P151" s="170">
        <v>0.20150141002321187</v>
      </c>
      <c r="Q151" s="55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</row>
    <row r="152" ht="14.25" customHeight="1">
      <c r="A152" s="147"/>
      <c r="B152" s="67">
        <v>146.0</v>
      </c>
      <c r="C152" s="172"/>
      <c r="D152" s="168" t="s">
        <v>184</v>
      </c>
      <c r="E152" s="169" t="s">
        <v>185</v>
      </c>
      <c r="F152" s="170">
        <v>0.9863315740914008</v>
      </c>
      <c r="G152" s="170">
        <v>0.9863315740914008</v>
      </c>
      <c r="H152" s="171">
        <v>3.0</v>
      </c>
      <c r="I152" s="170">
        <v>0.3333333333333333</v>
      </c>
      <c r="J152" s="170">
        <v>0.3333333333333333</v>
      </c>
      <c r="K152" s="181">
        <v>0.6</v>
      </c>
      <c r="L152" s="181">
        <v>0.6</v>
      </c>
      <c r="M152" s="180">
        <v>0.0</v>
      </c>
      <c r="N152" s="180">
        <v>0.0</v>
      </c>
      <c r="O152" s="170">
        <v>0.22763713994434323</v>
      </c>
      <c r="P152" s="170">
        <v>0.22763713994434323</v>
      </c>
      <c r="Q152" s="55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</row>
    <row r="153" ht="14.25" customHeight="1">
      <c r="A153" s="147"/>
      <c r="B153" s="67">
        <v>147.0</v>
      </c>
      <c r="C153" s="172"/>
      <c r="D153" s="168" t="s">
        <v>176</v>
      </c>
      <c r="E153" s="169" t="s">
        <v>177</v>
      </c>
      <c r="F153" s="170">
        <v>0.8837357802197802</v>
      </c>
      <c r="G153" s="170">
        <v>0.8837357802197802</v>
      </c>
      <c r="H153" s="171">
        <v>4.0</v>
      </c>
      <c r="I153" s="170">
        <v>0.6</v>
      </c>
      <c r="J153" s="170">
        <v>0.6</v>
      </c>
      <c r="K153" s="170">
        <v>0.0</v>
      </c>
      <c r="L153" s="170">
        <v>0.0</v>
      </c>
      <c r="M153" s="170">
        <v>0.0</v>
      </c>
      <c r="N153" s="170">
        <v>0.0</v>
      </c>
      <c r="O153" s="181">
        <v>0.3894102247481861</v>
      </c>
      <c r="P153" s="181">
        <v>0.3894102247481861</v>
      </c>
      <c r="Q153" s="55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</row>
    <row r="154" ht="14.25" customHeight="1">
      <c r="A154" s="147"/>
      <c r="B154" s="67">
        <v>148.0</v>
      </c>
      <c r="C154" s="172"/>
      <c r="D154" s="168" t="s">
        <v>72</v>
      </c>
      <c r="E154" s="169" t="s">
        <v>73</v>
      </c>
      <c r="F154" s="170">
        <v>0.9500415699359185</v>
      </c>
      <c r="G154" s="170">
        <v>0.9500415699359185</v>
      </c>
      <c r="H154" s="171">
        <v>3.0</v>
      </c>
      <c r="I154" s="170">
        <v>0.6666666666666666</v>
      </c>
      <c r="J154" s="170">
        <v>0.6666666666666666</v>
      </c>
      <c r="K154" s="170">
        <v>0.0</v>
      </c>
      <c r="L154" s="170">
        <v>0.0</v>
      </c>
      <c r="M154" s="170">
        <v>0.0</v>
      </c>
      <c r="N154" s="170">
        <v>0.0</v>
      </c>
      <c r="O154" s="170">
        <v>0.34705042571416533</v>
      </c>
      <c r="P154" s="170">
        <v>0.34705042571416533</v>
      </c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</row>
    <row r="155" ht="14.25" customHeight="1">
      <c r="A155" s="147"/>
      <c r="B155" s="67">
        <v>149.0</v>
      </c>
      <c r="C155" s="172"/>
      <c r="D155" s="168" t="s">
        <v>70</v>
      </c>
      <c r="E155" s="169" t="s">
        <v>71</v>
      </c>
      <c r="F155" s="170">
        <v>0.8736</v>
      </c>
      <c r="G155" s="170">
        <v>0.8736</v>
      </c>
      <c r="H155" s="171">
        <v>3.0</v>
      </c>
      <c r="I155" s="170">
        <v>0.3333333333333333</v>
      </c>
      <c r="J155" s="170">
        <v>0.3333333333333333</v>
      </c>
      <c r="K155" s="170">
        <v>0.09090909090909091</v>
      </c>
      <c r="L155" s="170">
        <v>0.09090909090909091</v>
      </c>
      <c r="M155" s="170">
        <v>5.93498226924047E-5</v>
      </c>
      <c r="N155" s="170">
        <v>5.93498226924047E-5</v>
      </c>
      <c r="O155" s="170">
        <v>0.26848444811303057</v>
      </c>
      <c r="P155" s="170">
        <v>0.26848444811303057</v>
      </c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</row>
    <row r="156" ht="14.25" customHeight="1">
      <c r="A156" s="147"/>
      <c r="B156" s="67">
        <v>150.0</v>
      </c>
      <c r="C156" s="172"/>
      <c r="D156" s="168" t="s">
        <v>202</v>
      </c>
      <c r="E156" s="169" t="s">
        <v>203</v>
      </c>
      <c r="F156" s="170">
        <v>0.9813431382697265</v>
      </c>
      <c r="G156" s="170">
        <v>0.9813431382697265</v>
      </c>
      <c r="H156" s="171">
        <v>3.0</v>
      </c>
      <c r="I156" s="170">
        <v>0.3333333333333333</v>
      </c>
      <c r="J156" s="170">
        <v>0.3333333333333333</v>
      </c>
      <c r="K156" s="170">
        <v>0.2</v>
      </c>
      <c r="L156" s="170">
        <v>0.2</v>
      </c>
      <c r="M156" s="170">
        <v>0.005407951321806091</v>
      </c>
      <c r="N156" s="170">
        <v>0.005407951321806091</v>
      </c>
      <c r="O156" s="170">
        <v>0.22552218336403473</v>
      </c>
      <c r="P156" s="170">
        <v>0.22552218336403473</v>
      </c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</row>
    <row r="157" ht="14.25" customHeight="1">
      <c r="A157" s="147"/>
      <c r="B157" s="67">
        <v>151.0</v>
      </c>
      <c r="C157" s="172"/>
      <c r="D157" s="168" t="s">
        <v>206</v>
      </c>
      <c r="E157" s="169" t="s">
        <v>207</v>
      </c>
      <c r="F157" s="170">
        <v>0.9239968319737425</v>
      </c>
      <c r="G157" s="170">
        <v>0.9239968319737425</v>
      </c>
      <c r="H157" s="171">
        <v>3.0</v>
      </c>
      <c r="I157" s="170">
        <v>0.42857142857142855</v>
      </c>
      <c r="J157" s="170">
        <v>0.42857142857142855</v>
      </c>
      <c r="K157" s="170">
        <v>0.16666666666666666</v>
      </c>
      <c r="L157" s="170">
        <v>0.16666666666666666</v>
      </c>
      <c r="M157" s="170">
        <v>0.0</v>
      </c>
      <c r="N157" s="170">
        <v>0.0</v>
      </c>
      <c r="O157" s="170">
        <v>0.193745971155047</v>
      </c>
      <c r="P157" s="170">
        <v>0.193745971155047</v>
      </c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</row>
    <row r="158" ht="14.25" customHeight="1">
      <c r="A158" s="147"/>
      <c r="B158" s="67">
        <v>152.0</v>
      </c>
      <c r="C158" s="172"/>
      <c r="D158" s="168" t="s">
        <v>76</v>
      </c>
      <c r="E158" s="169" t="s">
        <v>77</v>
      </c>
      <c r="F158" s="170">
        <v>0.7035304818897637</v>
      </c>
      <c r="G158" s="170">
        <v>0.7035304818897637</v>
      </c>
      <c r="H158" s="171">
        <v>3.0</v>
      </c>
      <c r="I158" s="170">
        <v>0.3333333333333333</v>
      </c>
      <c r="J158" s="170">
        <v>0.3333333333333333</v>
      </c>
      <c r="K158" s="170">
        <v>0.0</v>
      </c>
      <c r="L158" s="170">
        <v>0.0</v>
      </c>
      <c r="M158" s="170">
        <v>0.0</v>
      </c>
      <c r="N158" s="170">
        <v>0.0</v>
      </c>
      <c r="O158" s="170">
        <v>0.3110764955576696</v>
      </c>
      <c r="P158" s="170">
        <v>0.3110764955576696</v>
      </c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</row>
    <row r="159" ht="14.25" customHeight="1">
      <c r="A159" s="147"/>
      <c r="B159" s="67">
        <v>153.0</v>
      </c>
      <c r="C159" s="172"/>
      <c r="D159" s="168" t="s">
        <v>204</v>
      </c>
      <c r="E159" s="169" t="s">
        <v>205</v>
      </c>
      <c r="F159" s="170">
        <v>0.6353431297709924</v>
      </c>
      <c r="G159" s="170">
        <v>0.6353431297709924</v>
      </c>
      <c r="H159" s="171">
        <v>3.0</v>
      </c>
      <c r="I159" s="170">
        <v>0.5</v>
      </c>
      <c r="J159" s="170">
        <v>0.5</v>
      </c>
      <c r="K159" s="170">
        <v>0.0</v>
      </c>
      <c r="L159" s="170">
        <v>0.0</v>
      </c>
      <c r="M159" s="170">
        <v>0.03187083969465649</v>
      </c>
      <c r="N159" s="170">
        <v>0.03187083969465649</v>
      </c>
      <c r="O159" s="180">
        <v>0.12895110587102332</v>
      </c>
      <c r="P159" s="180">
        <v>0.12895110587102332</v>
      </c>
      <c r="Q159" s="55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</row>
    <row r="160" ht="14.25" customHeight="1">
      <c r="A160" s="147"/>
      <c r="B160" s="67">
        <v>154.0</v>
      </c>
      <c r="C160" s="172"/>
      <c r="D160" s="168" t="s">
        <v>82</v>
      </c>
      <c r="E160" s="169" t="s">
        <v>83</v>
      </c>
      <c r="F160" s="170">
        <v>0.8309791861394058</v>
      </c>
      <c r="G160" s="170">
        <v>0.8309791861394058</v>
      </c>
      <c r="H160" s="171">
        <v>3.0</v>
      </c>
      <c r="I160" s="170">
        <v>0.42857142857142855</v>
      </c>
      <c r="J160" s="170">
        <v>0.42857142857142855</v>
      </c>
      <c r="K160" s="170">
        <v>0.2</v>
      </c>
      <c r="L160" s="170">
        <v>0.2</v>
      </c>
      <c r="M160" s="170">
        <v>0.008468457940394528</v>
      </c>
      <c r="N160" s="170">
        <v>0.008468457940394528</v>
      </c>
      <c r="O160" s="180">
        <v>0.17476999692378525</v>
      </c>
      <c r="P160" s="180">
        <v>0.17476999692378525</v>
      </c>
      <c r="Q160" s="55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</row>
    <row r="161" ht="14.25" customHeight="1">
      <c r="A161" s="147"/>
      <c r="B161" s="67">
        <v>155.0</v>
      </c>
      <c r="C161" s="172"/>
      <c r="D161" s="168" t="s">
        <v>84</v>
      </c>
      <c r="E161" s="169" t="s">
        <v>85</v>
      </c>
      <c r="F161" s="170">
        <v>0.5941960688506857</v>
      </c>
      <c r="G161" s="170">
        <v>0.5941960688506857</v>
      </c>
      <c r="H161" s="171">
        <v>3.0</v>
      </c>
      <c r="I161" s="170">
        <v>0.3333333333333333</v>
      </c>
      <c r="J161" s="170">
        <v>0.3333333333333333</v>
      </c>
      <c r="K161" s="170">
        <v>0.0</v>
      </c>
      <c r="L161" s="170">
        <v>0.0</v>
      </c>
      <c r="M161" s="170">
        <v>0.0</v>
      </c>
      <c r="N161" s="170">
        <v>0.0</v>
      </c>
      <c r="O161" s="170">
        <v>0.22450108411876632</v>
      </c>
      <c r="P161" s="170">
        <v>0.22450108411876632</v>
      </c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</row>
    <row r="162" ht="14.25" customHeight="1">
      <c r="A162" s="147"/>
      <c r="B162" s="67">
        <v>156.0</v>
      </c>
      <c r="C162" s="172"/>
      <c r="D162" s="168" t="s">
        <v>212</v>
      </c>
      <c r="E162" s="169" t="s">
        <v>213</v>
      </c>
      <c r="F162" s="180">
        <v>0.06780998875331658</v>
      </c>
      <c r="G162" s="182">
        <v>0.976861010372425</v>
      </c>
      <c r="H162" s="171">
        <v>3.0</v>
      </c>
      <c r="I162" s="170">
        <v>0.4</v>
      </c>
      <c r="J162" s="170">
        <v>0.4</v>
      </c>
      <c r="K162" s="170">
        <v>0.3333333333333333</v>
      </c>
      <c r="L162" s="170">
        <v>0.3333333333333333</v>
      </c>
      <c r="M162" s="170">
        <v>0.002897409914231767</v>
      </c>
      <c r="N162" s="170">
        <v>0.002897409914231767</v>
      </c>
      <c r="O162" s="170">
        <v>0.18475697708340086</v>
      </c>
      <c r="P162" s="170">
        <v>0.18475697708340086</v>
      </c>
      <c r="Q162" s="55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</row>
    <row r="163" ht="14.25" customHeight="1">
      <c r="A163" s="147"/>
      <c r="B163" s="67">
        <v>157.0</v>
      </c>
      <c r="C163" s="172"/>
      <c r="D163" s="168" t="s">
        <v>88</v>
      </c>
      <c r="E163" s="169" t="s">
        <v>89</v>
      </c>
      <c r="F163" s="170">
        <v>0.8000000144349708</v>
      </c>
      <c r="G163" s="170">
        <v>0.8000000144349708</v>
      </c>
      <c r="H163" s="171">
        <v>3.0</v>
      </c>
      <c r="I163" s="170">
        <v>0.4</v>
      </c>
      <c r="J163" s="170">
        <v>0.4</v>
      </c>
      <c r="K163" s="170">
        <v>0.25</v>
      </c>
      <c r="L163" s="170">
        <v>0.25</v>
      </c>
      <c r="M163" s="170">
        <v>8.646547541107369E-5</v>
      </c>
      <c r="N163" s="170">
        <v>8.646547541107369E-5</v>
      </c>
      <c r="O163" s="170">
        <v>0.24086008461340166</v>
      </c>
      <c r="P163" s="170">
        <v>0.24086008461340166</v>
      </c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</row>
    <row r="164" ht="14.25" customHeight="1">
      <c r="A164" s="147"/>
      <c r="B164" s="67">
        <v>158.0</v>
      </c>
      <c r="C164" s="172"/>
      <c r="D164" s="168" t="s">
        <v>86</v>
      </c>
      <c r="E164" s="169" t="s">
        <v>87</v>
      </c>
      <c r="F164" s="170">
        <v>0.7827771280483906</v>
      </c>
      <c r="G164" s="170">
        <v>0.7827771280483906</v>
      </c>
      <c r="H164" s="171">
        <v>3.0</v>
      </c>
      <c r="I164" s="170">
        <v>0.5</v>
      </c>
      <c r="J164" s="170">
        <v>0.5</v>
      </c>
      <c r="K164" s="170">
        <v>0.0</v>
      </c>
      <c r="L164" s="170">
        <v>0.0</v>
      </c>
      <c r="M164" s="170">
        <v>0.5450138462756426</v>
      </c>
      <c r="N164" s="170">
        <v>0.5450138462756426</v>
      </c>
      <c r="O164" s="170">
        <v>0.23427715212649547</v>
      </c>
      <c r="P164" s="170">
        <v>0.23427715212649547</v>
      </c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</row>
    <row r="165" ht="14.25" customHeight="1">
      <c r="A165" s="147"/>
      <c r="B165" s="67">
        <v>159.0</v>
      </c>
      <c r="C165" s="172"/>
      <c r="D165" s="168" t="s">
        <v>226</v>
      </c>
      <c r="E165" s="169" t="s">
        <v>227</v>
      </c>
      <c r="F165" s="170">
        <v>0.4410805632868135</v>
      </c>
      <c r="G165" s="170">
        <v>0.4410805632868135</v>
      </c>
      <c r="H165" s="171">
        <v>3.0</v>
      </c>
      <c r="I165" s="170">
        <v>0.3333333333333333</v>
      </c>
      <c r="J165" s="170">
        <v>0.3333333333333333</v>
      </c>
      <c r="K165" s="170">
        <v>0.0</v>
      </c>
      <c r="L165" s="170">
        <v>0.0</v>
      </c>
      <c r="M165" s="170">
        <v>0.0</v>
      </c>
      <c r="N165" s="170">
        <v>0.0</v>
      </c>
      <c r="O165" s="181">
        <v>0.5044244945728579</v>
      </c>
      <c r="P165" s="181">
        <v>0.5044244945728579</v>
      </c>
      <c r="Q165" s="55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</row>
    <row r="166" ht="14.25" customHeight="1">
      <c r="A166" s="147"/>
      <c r="B166" s="67">
        <v>160.0</v>
      </c>
      <c r="C166" s="172"/>
      <c r="D166" s="168" t="s">
        <v>90</v>
      </c>
      <c r="E166" s="169" t="s">
        <v>91</v>
      </c>
      <c r="F166" s="170">
        <v>0.9599087347313238</v>
      </c>
      <c r="G166" s="170">
        <v>0.9599087347313238</v>
      </c>
      <c r="H166" s="171">
        <v>3.0</v>
      </c>
      <c r="I166" s="181">
        <v>0.8333333333333334</v>
      </c>
      <c r="J166" s="181">
        <v>0.8333333333333334</v>
      </c>
      <c r="K166" s="170">
        <v>0.3333333333333333</v>
      </c>
      <c r="L166" s="170">
        <v>0.3333333333333333</v>
      </c>
      <c r="M166" s="170">
        <v>0.0</v>
      </c>
      <c r="N166" s="170">
        <v>0.0</v>
      </c>
      <c r="O166" s="170">
        <v>0.22566329166996135</v>
      </c>
      <c r="P166" s="170">
        <v>0.22566329166996135</v>
      </c>
      <c r="Q166" s="55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</row>
    <row r="167" ht="14.25" customHeight="1">
      <c r="A167" s="147"/>
      <c r="B167" s="67">
        <v>161.0</v>
      </c>
      <c r="C167" s="172"/>
      <c r="D167" s="168" t="s">
        <v>92</v>
      </c>
      <c r="E167" s="169" t="s">
        <v>93</v>
      </c>
      <c r="F167" s="170">
        <v>0.8494856887298747</v>
      </c>
      <c r="G167" s="170">
        <v>0.8494856887298747</v>
      </c>
      <c r="H167" s="171">
        <v>3.0</v>
      </c>
      <c r="I167" s="170">
        <v>0.4</v>
      </c>
      <c r="J167" s="170">
        <v>0.4</v>
      </c>
      <c r="K167" s="170">
        <v>0.2</v>
      </c>
      <c r="L167" s="170">
        <v>0.2</v>
      </c>
      <c r="M167" s="170">
        <v>0.0032253279666070362</v>
      </c>
      <c r="N167" s="170">
        <v>0.0032253279666070362</v>
      </c>
      <c r="O167" s="170">
        <v>0.2248850341218782</v>
      </c>
      <c r="P167" s="170">
        <v>0.2248850341218782</v>
      </c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</row>
    <row r="168" ht="14.25" customHeight="1">
      <c r="A168" s="147"/>
      <c r="B168" s="67">
        <v>162.0</v>
      </c>
      <c r="C168" s="172"/>
      <c r="D168" s="168" t="s">
        <v>94</v>
      </c>
      <c r="E168" s="169" t="s">
        <v>95</v>
      </c>
      <c r="F168" s="170">
        <v>0.6316000000876243</v>
      </c>
      <c r="G168" s="170">
        <v>0.6316000000876243</v>
      </c>
      <c r="H168" s="171">
        <v>3.0</v>
      </c>
      <c r="I168" s="170">
        <v>0.5</v>
      </c>
      <c r="J168" s="170">
        <v>0.5</v>
      </c>
      <c r="K168" s="170">
        <v>0.0</v>
      </c>
      <c r="L168" s="170">
        <v>0.0</v>
      </c>
      <c r="M168" s="181">
        <v>0.6319154914341136</v>
      </c>
      <c r="N168" s="181">
        <v>0.6319154914341136</v>
      </c>
      <c r="O168" s="170">
        <v>0.20709915457815176</v>
      </c>
      <c r="P168" s="170">
        <v>0.20709915457815176</v>
      </c>
      <c r="Q168" s="55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</row>
    <row r="169" ht="14.25" customHeight="1">
      <c r="A169" s="147"/>
      <c r="B169" s="148"/>
      <c r="C169" s="149"/>
      <c r="D169" s="150"/>
      <c r="E169" s="150"/>
      <c r="F169" s="151"/>
      <c r="G169" s="151"/>
      <c r="H169" s="152"/>
      <c r="I169" s="152"/>
      <c r="J169" s="152"/>
      <c r="K169" s="152"/>
      <c r="L169" s="152"/>
      <c r="M169" s="152"/>
      <c r="N169" s="152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</row>
    <row r="170" ht="14.25" customHeight="1">
      <c r="A170" s="147"/>
      <c r="B170" s="148"/>
      <c r="C170" s="149"/>
      <c r="D170" s="150"/>
      <c r="E170" s="150" t="s">
        <v>349</v>
      </c>
      <c r="F170" s="151" t="str">
        <f t="shared" ref="F170:P170" si="1">MIN(F7:F169)</f>
        <v>0.0019</v>
      </c>
      <c r="G170" s="151" t="str">
        <f t="shared" si="1"/>
        <v>0.0019</v>
      </c>
      <c r="H170" s="152" t="str">
        <f t="shared" si="1"/>
        <v>2.00000</v>
      </c>
      <c r="I170" s="152" t="str">
        <f t="shared" si="1"/>
        <v>0.28571</v>
      </c>
      <c r="J170" s="152" t="str">
        <f t="shared" si="1"/>
        <v>0.28571</v>
      </c>
      <c r="K170" s="152" t="str">
        <f t="shared" si="1"/>
        <v>0.00000</v>
      </c>
      <c r="L170" s="152" t="str">
        <f t="shared" si="1"/>
        <v>0.00000</v>
      </c>
      <c r="M170" s="152" t="str">
        <f t="shared" si="1"/>
        <v>0.00000</v>
      </c>
      <c r="N170" s="152" t="str">
        <f t="shared" si="1"/>
        <v>0.00000</v>
      </c>
      <c r="O170" s="173" t="str">
        <f t="shared" si="1"/>
        <v>0.01744</v>
      </c>
      <c r="P170" s="173" t="str">
        <f t="shared" si="1"/>
        <v>0.01744</v>
      </c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</row>
    <row r="171" ht="14.25" customHeight="1">
      <c r="A171" s="147"/>
      <c r="B171" s="148"/>
      <c r="C171" s="149"/>
      <c r="D171" s="150"/>
      <c r="E171" s="150" t="s">
        <v>350</v>
      </c>
      <c r="F171" s="151" t="str">
        <f t="shared" ref="F171:P171" si="2">AVERAGE(F7:F170)</f>
        <v>0.7279</v>
      </c>
      <c r="G171" s="151" t="str">
        <f t="shared" si="2"/>
        <v>0.7487</v>
      </c>
      <c r="H171" s="152" t="str">
        <f t="shared" si="2"/>
        <v>3.00000</v>
      </c>
      <c r="I171" s="152" t="str">
        <f t="shared" si="2"/>
        <v>0.44293</v>
      </c>
      <c r="J171" s="152" t="str">
        <f t="shared" si="2"/>
        <v>0.44273</v>
      </c>
      <c r="K171" s="152" t="str">
        <f t="shared" si="2"/>
        <v>0.12503</v>
      </c>
      <c r="L171" s="152" t="str">
        <f t="shared" si="2"/>
        <v>0.12459</v>
      </c>
      <c r="M171" s="152" t="str">
        <f t="shared" si="2"/>
        <v>0.07323</v>
      </c>
      <c r="N171" s="152" t="str">
        <f t="shared" si="2"/>
        <v>0.07323</v>
      </c>
      <c r="O171" s="173" t="str">
        <f t="shared" si="2"/>
        <v>0.25377</v>
      </c>
      <c r="P171" s="173" t="str">
        <f t="shared" si="2"/>
        <v>0.24504</v>
      </c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</row>
    <row r="172" ht="14.25" customHeight="1">
      <c r="A172" s="147"/>
      <c r="B172" s="148"/>
      <c r="C172" s="149"/>
      <c r="D172" s="150"/>
      <c r="E172" s="150" t="s">
        <v>351</v>
      </c>
      <c r="F172" s="151" t="str">
        <f t="shared" ref="F172:P172" si="3">MAX(F7:F171)</f>
        <v>1.0000</v>
      </c>
      <c r="G172" s="151" t="str">
        <f t="shared" si="3"/>
        <v>1.0000</v>
      </c>
      <c r="H172" s="152" t="str">
        <f t="shared" si="3"/>
        <v>4.00000</v>
      </c>
      <c r="I172" s="152" t="str">
        <f t="shared" si="3"/>
        <v>0.83333</v>
      </c>
      <c r="J172" s="152" t="str">
        <f t="shared" si="3"/>
        <v>0.83333</v>
      </c>
      <c r="K172" s="152" t="str">
        <f t="shared" si="3"/>
        <v>0.60000</v>
      </c>
      <c r="L172" s="152" t="str">
        <f t="shared" si="3"/>
        <v>0.60000</v>
      </c>
      <c r="M172" s="152" t="str">
        <f t="shared" si="3"/>
        <v>0.76505</v>
      </c>
      <c r="N172" s="152" t="str">
        <f t="shared" si="3"/>
        <v>0.76505</v>
      </c>
      <c r="O172" s="173" t="str">
        <f t="shared" si="3"/>
        <v>1.66697</v>
      </c>
      <c r="P172" s="173" t="str">
        <f t="shared" si="3"/>
        <v>0.80234</v>
      </c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</row>
    <row r="173" ht="14.25" customHeight="1">
      <c r="A173" s="147"/>
      <c r="B173" s="148"/>
      <c r="C173" s="149"/>
      <c r="D173" s="150"/>
      <c r="E173" s="150"/>
      <c r="F173" s="151"/>
      <c r="G173" s="151"/>
      <c r="H173" s="152"/>
      <c r="I173" s="152"/>
      <c r="J173" s="152"/>
      <c r="K173" s="152"/>
      <c r="L173" s="152"/>
      <c r="M173" s="152"/>
      <c r="N173" s="152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</row>
    <row r="174" ht="14.25" customHeight="1">
      <c r="A174" s="147"/>
      <c r="B174" s="148"/>
      <c r="C174" s="149"/>
      <c r="D174" s="150"/>
      <c r="E174" s="150"/>
      <c r="F174" s="151"/>
      <c r="G174" s="151"/>
      <c r="H174" s="152"/>
      <c r="I174" s="152"/>
      <c r="J174" s="152"/>
      <c r="K174" s="152"/>
      <c r="L174" s="152"/>
      <c r="M174" s="152"/>
      <c r="N174" s="152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</row>
    <row r="175" ht="14.25" customHeight="1">
      <c r="A175" s="147"/>
      <c r="B175" s="148"/>
      <c r="C175" s="149"/>
      <c r="D175" s="150"/>
      <c r="E175" s="150"/>
      <c r="F175" s="151"/>
      <c r="G175" s="151"/>
      <c r="H175" s="152"/>
      <c r="I175" s="152"/>
      <c r="J175" s="152"/>
      <c r="K175" s="152"/>
      <c r="L175" s="152"/>
      <c r="M175" s="152"/>
      <c r="N175" s="152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</row>
    <row r="176" ht="14.25" customHeight="1">
      <c r="A176" s="147"/>
      <c r="B176" s="148"/>
      <c r="C176" s="149"/>
      <c r="D176" s="150"/>
      <c r="E176" s="150"/>
      <c r="F176" s="151"/>
      <c r="G176" s="151"/>
      <c r="H176" s="152"/>
      <c r="I176" s="152"/>
      <c r="J176" s="152"/>
      <c r="K176" s="152"/>
      <c r="L176" s="152"/>
      <c r="M176" s="152"/>
      <c r="N176" s="152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</row>
    <row r="177" ht="14.25" customHeight="1">
      <c r="A177" s="147"/>
      <c r="B177" s="148"/>
      <c r="C177" s="149"/>
      <c r="D177" s="150"/>
      <c r="E177" s="150"/>
      <c r="F177" s="151"/>
      <c r="G177" s="151"/>
      <c r="H177" s="152"/>
      <c r="I177" s="152"/>
      <c r="J177" s="152"/>
      <c r="K177" s="152"/>
      <c r="L177" s="152"/>
      <c r="M177" s="152"/>
      <c r="N177" s="152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</row>
    <row r="178" ht="14.25" customHeight="1">
      <c r="A178" s="147"/>
      <c r="B178" s="148"/>
      <c r="C178" s="149"/>
      <c r="D178" s="150"/>
      <c r="E178" s="150"/>
      <c r="F178" s="151"/>
      <c r="G178" s="151"/>
      <c r="H178" s="152"/>
      <c r="I178" s="152"/>
      <c r="J178" s="152"/>
      <c r="K178" s="152"/>
      <c r="L178" s="152"/>
      <c r="M178" s="152"/>
      <c r="N178" s="152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</row>
    <row r="179" ht="14.25" customHeight="1">
      <c r="A179" s="147"/>
      <c r="B179" s="148"/>
      <c r="C179" s="149"/>
      <c r="D179" s="150"/>
      <c r="E179" s="150"/>
      <c r="F179" s="151"/>
      <c r="G179" s="151"/>
      <c r="H179" s="152"/>
      <c r="I179" s="152"/>
      <c r="J179" s="152"/>
      <c r="K179" s="152"/>
      <c r="L179" s="152"/>
      <c r="M179" s="152"/>
      <c r="N179" s="152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</row>
    <row r="180" ht="14.25" customHeight="1">
      <c r="A180" s="147"/>
      <c r="B180" s="148"/>
      <c r="C180" s="149"/>
      <c r="D180" s="150"/>
      <c r="E180" s="150"/>
      <c r="F180" s="151"/>
      <c r="G180" s="151"/>
      <c r="H180" s="152"/>
      <c r="I180" s="152"/>
      <c r="J180" s="152"/>
      <c r="K180" s="152"/>
      <c r="L180" s="152"/>
      <c r="M180" s="152"/>
      <c r="N180" s="152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</row>
    <row r="181" ht="14.25" customHeight="1">
      <c r="A181" s="147"/>
      <c r="B181" s="148"/>
      <c r="C181" s="149"/>
      <c r="D181" s="150"/>
      <c r="E181" s="150"/>
      <c r="F181" s="151"/>
      <c r="G181" s="151"/>
      <c r="H181" s="152"/>
      <c r="I181" s="152"/>
      <c r="J181" s="152"/>
      <c r="K181" s="152"/>
      <c r="L181" s="152"/>
      <c r="M181" s="152"/>
      <c r="N181" s="152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</row>
    <row r="182" ht="14.25" customHeight="1">
      <c r="A182" s="147"/>
      <c r="B182" s="148"/>
      <c r="C182" s="149"/>
      <c r="D182" s="150"/>
      <c r="E182" s="150"/>
      <c r="F182" s="151"/>
      <c r="G182" s="151"/>
      <c r="H182" s="152"/>
      <c r="I182" s="152"/>
      <c r="J182" s="152"/>
      <c r="K182" s="152"/>
      <c r="L182" s="152"/>
      <c r="M182" s="152"/>
      <c r="N182" s="152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</row>
    <row r="183" ht="14.25" customHeight="1">
      <c r="A183" s="147"/>
      <c r="B183" s="148"/>
      <c r="C183" s="149"/>
      <c r="D183" s="150"/>
      <c r="E183" s="150"/>
      <c r="F183" s="151"/>
      <c r="G183" s="151"/>
      <c r="H183" s="152"/>
      <c r="I183" s="152"/>
      <c r="J183" s="152"/>
      <c r="K183" s="152"/>
      <c r="L183" s="152"/>
      <c r="M183" s="152"/>
      <c r="N183" s="152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</row>
    <row r="184" ht="14.25" customHeight="1">
      <c r="A184" s="147"/>
      <c r="B184" s="148"/>
      <c r="C184" s="149"/>
      <c r="D184" s="150"/>
      <c r="E184" s="150"/>
      <c r="F184" s="151"/>
      <c r="G184" s="151"/>
      <c r="H184" s="152"/>
      <c r="I184" s="152"/>
      <c r="J184" s="152"/>
      <c r="K184" s="152"/>
      <c r="L184" s="152"/>
      <c r="M184" s="152"/>
      <c r="N184" s="152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</row>
    <row r="185" ht="14.25" customHeight="1">
      <c r="A185" s="147"/>
      <c r="B185" s="148"/>
      <c r="C185" s="149"/>
      <c r="D185" s="150"/>
      <c r="E185" s="150"/>
      <c r="F185" s="151"/>
      <c r="G185" s="151"/>
      <c r="H185" s="152"/>
      <c r="I185" s="152"/>
      <c r="J185" s="152"/>
      <c r="K185" s="152"/>
      <c r="L185" s="152"/>
      <c r="M185" s="152"/>
      <c r="N185" s="152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</row>
    <row r="186" ht="14.25" customHeight="1">
      <c r="A186" s="147"/>
      <c r="B186" s="148"/>
      <c r="C186" s="149"/>
      <c r="D186" s="150"/>
      <c r="E186" s="150"/>
      <c r="F186" s="151"/>
      <c r="G186" s="151"/>
      <c r="H186" s="152"/>
      <c r="I186" s="152"/>
      <c r="J186" s="152"/>
      <c r="K186" s="152"/>
      <c r="L186" s="152"/>
      <c r="M186" s="152"/>
      <c r="N186" s="152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</row>
    <row r="187" ht="14.25" customHeight="1">
      <c r="A187" s="147"/>
      <c r="B187" s="148"/>
      <c r="C187" s="149"/>
      <c r="D187" s="150"/>
      <c r="E187" s="150"/>
      <c r="F187" s="151"/>
      <c r="G187" s="151"/>
      <c r="H187" s="152"/>
      <c r="I187" s="152"/>
      <c r="J187" s="152"/>
      <c r="K187" s="152"/>
      <c r="L187" s="152"/>
      <c r="M187" s="152"/>
      <c r="N187" s="152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</row>
    <row r="188" ht="14.25" customHeight="1">
      <c r="A188" s="147"/>
      <c r="B188" s="148"/>
      <c r="C188" s="149"/>
      <c r="D188" s="150"/>
      <c r="E188" s="150"/>
      <c r="F188" s="151"/>
      <c r="G188" s="151"/>
      <c r="H188" s="152"/>
      <c r="I188" s="152"/>
      <c r="J188" s="152"/>
      <c r="K188" s="152"/>
      <c r="L188" s="152"/>
      <c r="M188" s="152"/>
      <c r="N188" s="152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</row>
    <row r="189" ht="14.25" customHeight="1">
      <c r="A189" s="147"/>
      <c r="B189" s="148"/>
      <c r="C189" s="149"/>
      <c r="D189" s="150"/>
      <c r="E189" s="150"/>
      <c r="F189" s="151"/>
      <c r="G189" s="151"/>
      <c r="H189" s="152"/>
      <c r="I189" s="152"/>
      <c r="J189" s="152"/>
      <c r="K189" s="152"/>
      <c r="L189" s="152"/>
      <c r="M189" s="152"/>
      <c r="N189" s="152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</row>
    <row r="190" ht="14.25" customHeight="1">
      <c r="A190" s="147"/>
      <c r="B190" s="148"/>
      <c r="C190" s="149"/>
      <c r="D190" s="150"/>
      <c r="E190" s="150"/>
      <c r="F190" s="151"/>
      <c r="G190" s="151"/>
      <c r="H190" s="152"/>
      <c r="I190" s="152"/>
      <c r="J190" s="152"/>
      <c r="K190" s="152"/>
      <c r="L190" s="152"/>
      <c r="M190" s="152"/>
      <c r="N190" s="152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</row>
    <row r="191" ht="14.25" customHeight="1">
      <c r="A191" s="147"/>
      <c r="B191" s="148"/>
      <c r="C191" s="149"/>
      <c r="D191" s="150"/>
      <c r="E191" s="150"/>
      <c r="F191" s="151"/>
      <c r="G191" s="151"/>
      <c r="H191" s="152"/>
      <c r="I191" s="152"/>
      <c r="J191" s="152"/>
      <c r="K191" s="152"/>
      <c r="L191" s="152"/>
      <c r="M191" s="152"/>
      <c r="N191" s="152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</row>
    <row r="192" ht="14.25" customHeight="1">
      <c r="A192" s="147"/>
      <c r="B192" s="148"/>
      <c r="C192" s="149"/>
      <c r="D192" s="150"/>
      <c r="E192" s="150"/>
      <c r="F192" s="151"/>
      <c r="G192" s="151"/>
      <c r="H192" s="152"/>
      <c r="I192" s="152"/>
      <c r="J192" s="152"/>
      <c r="K192" s="152"/>
      <c r="L192" s="152"/>
      <c r="M192" s="152"/>
      <c r="N192" s="152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</row>
    <row r="193" ht="14.25" customHeight="1">
      <c r="A193" s="147"/>
      <c r="B193" s="148"/>
      <c r="C193" s="149"/>
      <c r="D193" s="150"/>
      <c r="E193" s="150"/>
      <c r="F193" s="151"/>
      <c r="G193" s="151"/>
      <c r="H193" s="152"/>
      <c r="I193" s="152"/>
      <c r="J193" s="152"/>
      <c r="K193" s="152"/>
      <c r="L193" s="152"/>
      <c r="M193" s="152"/>
      <c r="N193" s="152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</row>
    <row r="194" ht="14.25" customHeight="1">
      <c r="A194" s="147"/>
      <c r="B194" s="148"/>
      <c r="C194" s="149"/>
      <c r="D194" s="150"/>
      <c r="E194" s="150"/>
      <c r="F194" s="151"/>
      <c r="G194" s="151"/>
      <c r="H194" s="152"/>
      <c r="I194" s="152"/>
      <c r="J194" s="152"/>
      <c r="K194" s="152"/>
      <c r="L194" s="152"/>
      <c r="M194" s="152"/>
      <c r="N194" s="152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</row>
    <row r="195" ht="14.25" customHeight="1">
      <c r="A195" s="147"/>
      <c r="B195" s="148"/>
      <c r="C195" s="149"/>
      <c r="D195" s="150"/>
      <c r="E195" s="150"/>
      <c r="F195" s="151"/>
      <c r="G195" s="151"/>
      <c r="H195" s="152"/>
      <c r="I195" s="152"/>
      <c r="J195" s="152"/>
      <c r="K195" s="152"/>
      <c r="L195" s="152"/>
      <c r="M195" s="152"/>
      <c r="N195" s="152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</row>
    <row r="196" ht="14.25" customHeight="1">
      <c r="A196" s="147"/>
      <c r="B196" s="148"/>
      <c r="C196" s="149"/>
      <c r="D196" s="150"/>
      <c r="E196" s="150"/>
      <c r="F196" s="151"/>
      <c r="G196" s="151"/>
      <c r="H196" s="152"/>
      <c r="I196" s="152"/>
      <c r="J196" s="152"/>
      <c r="K196" s="152"/>
      <c r="L196" s="152"/>
      <c r="M196" s="152"/>
      <c r="N196" s="152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</row>
    <row r="197" ht="14.25" customHeight="1">
      <c r="A197" s="147"/>
      <c r="B197" s="148"/>
      <c r="C197" s="149"/>
      <c r="D197" s="150"/>
      <c r="E197" s="150"/>
      <c r="F197" s="151"/>
      <c r="G197" s="151"/>
      <c r="H197" s="152"/>
      <c r="I197" s="152"/>
      <c r="J197" s="152"/>
      <c r="K197" s="152"/>
      <c r="L197" s="152"/>
      <c r="M197" s="152"/>
      <c r="N197" s="152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</row>
    <row r="198" ht="14.25" customHeight="1">
      <c r="A198" s="147"/>
      <c r="B198" s="148"/>
      <c r="C198" s="149"/>
      <c r="D198" s="150"/>
      <c r="E198" s="150"/>
      <c r="F198" s="151"/>
      <c r="G198" s="151"/>
      <c r="H198" s="152"/>
      <c r="I198" s="152"/>
      <c r="J198" s="152"/>
      <c r="K198" s="152"/>
      <c r="L198" s="152"/>
      <c r="M198" s="152"/>
      <c r="N198" s="152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</row>
    <row r="199" ht="14.25" customHeight="1">
      <c r="A199" s="147"/>
      <c r="B199" s="148"/>
      <c r="C199" s="149"/>
      <c r="D199" s="150"/>
      <c r="E199" s="150"/>
      <c r="F199" s="151"/>
      <c r="G199" s="151"/>
      <c r="H199" s="152"/>
      <c r="I199" s="152"/>
      <c r="J199" s="152"/>
      <c r="K199" s="152"/>
      <c r="L199" s="152"/>
      <c r="M199" s="152"/>
      <c r="N199" s="152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</row>
    <row r="200" ht="14.25" customHeight="1">
      <c r="A200" s="147"/>
      <c r="B200" s="148"/>
      <c r="C200" s="149"/>
      <c r="D200" s="150"/>
      <c r="E200" s="150"/>
      <c r="F200" s="151"/>
      <c r="G200" s="151"/>
      <c r="H200" s="152"/>
      <c r="I200" s="152"/>
      <c r="J200" s="152"/>
      <c r="K200" s="152"/>
      <c r="L200" s="152"/>
      <c r="M200" s="152"/>
      <c r="N200" s="152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</row>
    <row r="201" ht="14.25" customHeight="1">
      <c r="A201" s="147"/>
      <c r="B201" s="148"/>
      <c r="C201" s="149"/>
      <c r="D201" s="150"/>
      <c r="E201" s="150"/>
      <c r="F201" s="151"/>
      <c r="G201" s="151"/>
      <c r="H201" s="152"/>
      <c r="I201" s="152"/>
      <c r="J201" s="152"/>
      <c r="K201" s="152"/>
      <c r="L201" s="152"/>
      <c r="M201" s="152"/>
      <c r="N201" s="152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</row>
    <row r="202" ht="14.25" customHeight="1">
      <c r="A202" s="147"/>
      <c r="B202" s="148"/>
      <c r="C202" s="149"/>
      <c r="D202" s="150"/>
      <c r="E202" s="150"/>
      <c r="F202" s="151"/>
      <c r="G202" s="151"/>
      <c r="H202" s="152"/>
      <c r="I202" s="152"/>
      <c r="J202" s="152"/>
      <c r="K202" s="152"/>
      <c r="L202" s="152"/>
      <c r="M202" s="152"/>
      <c r="N202" s="152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</row>
    <row r="203" ht="14.25" customHeight="1">
      <c r="A203" s="147"/>
      <c r="B203" s="148"/>
      <c r="C203" s="149"/>
      <c r="D203" s="150"/>
      <c r="E203" s="150"/>
      <c r="F203" s="151"/>
      <c r="G203" s="151"/>
      <c r="H203" s="152"/>
      <c r="I203" s="152"/>
      <c r="J203" s="152"/>
      <c r="K203" s="152"/>
      <c r="L203" s="152"/>
      <c r="M203" s="152"/>
      <c r="N203" s="152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</row>
    <row r="204" ht="14.25" customHeight="1">
      <c r="A204" s="147"/>
      <c r="B204" s="148"/>
      <c r="C204" s="149"/>
      <c r="D204" s="150"/>
      <c r="E204" s="150"/>
      <c r="F204" s="151"/>
      <c r="G204" s="151"/>
      <c r="H204" s="152"/>
      <c r="I204" s="152"/>
      <c r="J204" s="152"/>
      <c r="K204" s="152"/>
      <c r="L204" s="152"/>
      <c r="M204" s="152"/>
      <c r="N204" s="152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</row>
    <row r="205" ht="14.25" customHeight="1">
      <c r="A205" s="147"/>
      <c r="B205" s="148"/>
      <c r="C205" s="149"/>
      <c r="D205" s="150"/>
      <c r="E205" s="150"/>
      <c r="F205" s="151"/>
      <c r="G205" s="151"/>
      <c r="H205" s="152"/>
      <c r="I205" s="152"/>
      <c r="J205" s="152"/>
      <c r="K205" s="152"/>
      <c r="L205" s="152"/>
      <c r="M205" s="152"/>
      <c r="N205" s="152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</row>
    <row r="206" ht="14.25" customHeight="1">
      <c r="A206" s="147"/>
      <c r="B206" s="148"/>
      <c r="C206" s="149"/>
      <c r="D206" s="150"/>
      <c r="E206" s="150"/>
      <c r="F206" s="151"/>
      <c r="G206" s="151"/>
      <c r="H206" s="152"/>
      <c r="I206" s="152"/>
      <c r="J206" s="152"/>
      <c r="K206" s="152"/>
      <c r="L206" s="152"/>
      <c r="M206" s="152"/>
      <c r="N206" s="152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</row>
    <row r="207" ht="14.25" customHeight="1">
      <c r="A207" s="147"/>
      <c r="B207" s="148"/>
      <c r="C207" s="149"/>
      <c r="D207" s="150"/>
      <c r="E207" s="150"/>
      <c r="F207" s="151"/>
      <c r="G207" s="151"/>
      <c r="H207" s="152"/>
      <c r="I207" s="152"/>
      <c r="J207" s="152"/>
      <c r="K207" s="152"/>
      <c r="L207" s="152"/>
      <c r="M207" s="152"/>
      <c r="N207" s="152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</row>
    <row r="208" ht="14.25" customHeight="1">
      <c r="A208" s="147"/>
      <c r="B208" s="148"/>
      <c r="C208" s="149"/>
      <c r="D208" s="150"/>
      <c r="E208" s="150"/>
      <c r="F208" s="151"/>
      <c r="G208" s="151"/>
      <c r="H208" s="152"/>
      <c r="I208" s="152"/>
      <c r="J208" s="152"/>
      <c r="K208" s="152"/>
      <c r="L208" s="152"/>
      <c r="M208" s="152"/>
      <c r="N208" s="152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</row>
    <row r="209" ht="14.25" customHeight="1">
      <c r="A209" s="147"/>
      <c r="B209" s="148"/>
      <c r="C209" s="149"/>
      <c r="D209" s="150"/>
      <c r="E209" s="150"/>
      <c r="F209" s="151"/>
      <c r="G209" s="151"/>
      <c r="H209" s="152"/>
      <c r="I209" s="152"/>
      <c r="J209" s="152"/>
      <c r="K209" s="152"/>
      <c r="L209" s="152"/>
      <c r="M209" s="152"/>
      <c r="N209" s="152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</row>
    <row r="210" ht="14.25" customHeight="1">
      <c r="A210" s="147"/>
      <c r="B210" s="148"/>
      <c r="C210" s="149"/>
      <c r="D210" s="150"/>
      <c r="E210" s="150"/>
      <c r="F210" s="151"/>
      <c r="G210" s="151"/>
      <c r="H210" s="152"/>
      <c r="I210" s="152"/>
      <c r="J210" s="152"/>
      <c r="K210" s="152"/>
      <c r="L210" s="152"/>
      <c r="M210" s="152"/>
      <c r="N210" s="152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</row>
    <row r="211" ht="14.25" customHeight="1">
      <c r="A211" s="147"/>
      <c r="B211" s="148"/>
      <c r="C211" s="149"/>
      <c r="D211" s="150"/>
      <c r="E211" s="150"/>
      <c r="F211" s="151"/>
      <c r="G211" s="151"/>
      <c r="H211" s="152"/>
      <c r="I211" s="152"/>
      <c r="J211" s="152"/>
      <c r="K211" s="152"/>
      <c r="L211" s="152"/>
      <c r="M211" s="152"/>
      <c r="N211" s="152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</row>
    <row r="212" ht="14.25" customHeight="1">
      <c r="A212" s="147"/>
      <c r="B212" s="148"/>
      <c r="C212" s="149"/>
      <c r="D212" s="150"/>
      <c r="E212" s="150"/>
      <c r="F212" s="151"/>
      <c r="G212" s="151"/>
      <c r="H212" s="152"/>
      <c r="I212" s="152"/>
      <c r="J212" s="152"/>
      <c r="K212" s="152"/>
      <c r="L212" s="152"/>
      <c r="M212" s="152"/>
      <c r="N212" s="152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</row>
    <row r="213" ht="14.25" customHeight="1">
      <c r="A213" s="147"/>
      <c r="B213" s="148"/>
      <c r="C213" s="149"/>
      <c r="D213" s="150"/>
      <c r="E213" s="150"/>
      <c r="F213" s="151"/>
      <c r="G213" s="151"/>
      <c r="H213" s="152"/>
      <c r="I213" s="152"/>
      <c r="J213" s="152"/>
      <c r="K213" s="152"/>
      <c r="L213" s="152"/>
      <c r="M213" s="152"/>
      <c r="N213" s="152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</row>
    <row r="214" ht="14.25" customHeight="1">
      <c r="A214" s="147"/>
      <c r="B214" s="148"/>
      <c r="C214" s="149"/>
      <c r="D214" s="150"/>
      <c r="E214" s="150"/>
      <c r="F214" s="151"/>
      <c r="G214" s="151"/>
      <c r="H214" s="152"/>
      <c r="I214" s="152"/>
      <c r="J214" s="152"/>
      <c r="K214" s="152"/>
      <c r="L214" s="152"/>
      <c r="M214" s="152"/>
      <c r="N214" s="152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</row>
    <row r="215" ht="14.25" customHeight="1">
      <c r="A215" s="147"/>
      <c r="B215" s="148"/>
      <c r="C215" s="149"/>
      <c r="D215" s="150"/>
      <c r="E215" s="150"/>
      <c r="F215" s="151"/>
      <c r="G215" s="151"/>
      <c r="H215" s="152"/>
      <c r="I215" s="152"/>
      <c r="J215" s="152"/>
      <c r="K215" s="152"/>
      <c r="L215" s="152"/>
      <c r="M215" s="152"/>
      <c r="N215" s="152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</row>
    <row r="216" ht="14.25" customHeight="1">
      <c r="A216" s="147"/>
      <c r="B216" s="148"/>
      <c r="C216" s="149"/>
      <c r="D216" s="150"/>
      <c r="E216" s="150"/>
      <c r="F216" s="151"/>
      <c r="G216" s="151"/>
      <c r="H216" s="152"/>
      <c r="I216" s="152"/>
      <c r="J216" s="152"/>
      <c r="K216" s="152"/>
      <c r="L216" s="152"/>
      <c r="M216" s="152"/>
      <c r="N216" s="152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</row>
    <row r="217" ht="14.25" customHeight="1">
      <c r="A217" s="147"/>
      <c r="B217" s="148"/>
      <c r="C217" s="149"/>
      <c r="D217" s="150"/>
      <c r="E217" s="150"/>
      <c r="F217" s="151"/>
      <c r="G217" s="151"/>
      <c r="H217" s="152"/>
      <c r="I217" s="152"/>
      <c r="J217" s="152"/>
      <c r="K217" s="152"/>
      <c r="L217" s="152"/>
      <c r="M217" s="152"/>
      <c r="N217" s="152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</row>
    <row r="218" ht="14.25" customHeight="1">
      <c r="A218" s="147"/>
      <c r="B218" s="148"/>
      <c r="C218" s="149"/>
      <c r="D218" s="150"/>
      <c r="E218" s="150"/>
      <c r="F218" s="151"/>
      <c r="G218" s="151"/>
      <c r="H218" s="152"/>
      <c r="I218" s="152"/>
      <c r="J218" s="152"/>
      <c r="K218" s="152"/>
      <c r="L218" s="152"/>
      <c r="M218" s="152"/>
      <c r="N218" s="152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</row>
    <row r="219" ht="14.25" customHeight="1">
      <c r="A219" s="147"/>
      <c r="B219" s="148"/>
      <c r="C219" s="149"/>
      <c r="D219" s="150"/>
      <c r="E219" s="150"/>
      <c r="F219" s="151"/>
      <c r="G219" s="151"/>
      <c r="H219" s="152"/>
      <c r="I219" s="152"/>
      <c r="J219" s="152"/>
      <c r="K219" s="152"/>
      <c r="L219" s="152"/>
      <c r="M219" s="152"/>
      <c r="N219" s="152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</row>
    <row r="220" ht="14.25" customHeight="1">
      <c r="A220" s="147"/>
      <c r="B220" s="148"/>
      <c r="C220" s="149"/>
      <c r="D220" s="150"/>
      <c r="E220" s="150"/>
      <c r="F220" s="151"/>
      <c r="G220" s="151"/>
      <c r="H220" s="152"/>
      <c r="I220" s="152"/>
      <c r="J220" s="152"/>
      <c r="K220" s="152"/>
      <c r="L220" s="152"/>
      <c r="M220" s="152"/>
      <c r="N220" s="152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</row>
    <row r="221" ht="14.25" customHeight="1">
      <c r="A221" s="147"/>
      <c r="B221" s="148"/>
      <c r="C221" s="149"/>
      <c r="D221" s="150"/>
      <c r="E221" s="150"/>
      <c r="F221" s="151"/>
      <c r="G221" s="151"/>
      <c r="H221" s="152"/>
      <c r="I221" s="152"/>
      <c r="J221" s="152"/>
      <c r="K221" s="152"/>
      <c r="L221" s="152"/>
      <c r="M221" s="152"/>
      <c r="N221" s="152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</row>
    <row r="222" ht="14.25" customHeight="1">
      <c r="A222" s="147"/>
      <c r="B222" s="148"/>
      <c r="C222" s="149"/>
      <c r="D222" s="150"/>
      <c r="E222" s="150"/>
      <c r="F222" s="151"/>
      <c r="G222" s="151"/>
      <c r="H222" s="152"/>
      <c r="I222" s="152"/>
      <c r="J222" s="152"/>
      <c r="K222" s="152"/>
      <c r="L222" s="152"/>
      <c r="M222" s="152"/>
      <c r="N222" s="152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</row>
    <row r="223" ht="14.25" customHeight="1">
      <c r="A223" s="147"/>
      <c r="B223" s="148"/>
      <c r="C223" s="149"/>
      <c r="D223" s="150"/>
      <c r="E223" s="150"/>
      <c r="F223" s="151"/>
      <c r="G223" s="151"/>
      <c r="H223" s="152"/>
      <c r="I223" s="152"/>
      <c r="J223" s="152"/>
      <c r="K223" s="152"/>
      <c r="L223" s="152"/>
      <c r="M223" s="152"/>
      <c r="N223" s="152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</row>
    <row r="224" ht="14.25" customHeight="1">
      <c r="A224" s="147"/>
      <c r="B224" s="148"/>
      <c r="C224" s="149"/>
      <c r="D224" s="150"/>
      <c r="E224" s="150"/>
      <c r="F224" s="151"/>
      <c r="G224" s="151"/>
      <c r="H224" s="152"/>
      <c r="I224" s="152"/>
      <c r="J224" s="152"/>
      <c r="K224" s="152"/>
      <c r="L224" s="152"/>
      <c r="M224" s="152"/>
      <c r="N224" s="152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</row>
    <row r="225" ht="14.25" customHeight="1">
      <c r="A225" s="147"/>
      <c r="B225" s="148"/>
      <c r="C225" s="149"/>
      <c r="D225" s="150"/>
      <c r="E225" s="150"/>
      <c r="F225" s="151"/>
      <c r="G225" s="151"/>
      <c r="H225" s="152"/>
      <c r="I225" s="152"/>
      <c r="J225" s="152"/>
      <c r="K225" s="152"/>
      <c r="L225" s="152"/>
      <c r="M225" s="152"/>
      <c r="N225" s="152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</row>
    <row r="226" ht="14.25" customHeight="1">
      <c r="A226" s="147"/>
      <c r="B226" s="148"/>
      <c r="C226" s="149"/>
      <c r="D226" s="150"/>
      <c r="E226" s="150"/>
      <c r="F226" s="151"/>
      <c r="G226" s="151"/>
      <c r="H226" s="152"/>
      <c r="I226" s="152"/>
      <c r="J226" s="152"/>
      <c r="K226" s="152"/>
      <c r="L226" s="152"/>
      <c r="M226" s="152"/>
      <c r="N226" s="152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</row>
    <row r="227" ht="14.25" customHeight="1">
      <c r="A227" s="147"/>
      <c r="B227" s="148"/>
      <c r="C227" s="149"/>
      <c r="D227" s="150"/>
      <c r="E227" s="150"/>
      <c r="F227" s="151"/>
      <c r="G227" s="151"/>
      <c r="H227" s="152"/>
      <c r="I227" s="152"/>
      <c r="J227" s="152"/>
      <c r="K227" s="152"/>
      <c r="L227" s="152"/>
      <c r="M227" s="152"/>
      <c r="N227" s="152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</row>
    <row r="228" ht="14.25" customHeight="1">
      <c r="A228" s="147"/>
      <c r="B228" s="148"/>
      <c r="C228" s="149"/>
      <c r="D228" s="150"/>
      <c r="E228" s="150"/>
      <c r="F228" s="151"/>
      <c r="G228" s="151"/>
      <c r="H228" s="152"/>
      <c r="I228" s="152"/>
      <c r="J228" s="152"/>
      <c r="K228" s="152"/>
      <c r="L228" s="152"/>
      <c r="M228" s="152"/>
      <c r="N228" s="152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</row>
    <row r="229" ht="14.25" customHeight="1">
      <c r="A229" s="147"/>
      <c r="B229" s="148"/>
      <c r="C229" s="149"/>
      <c r="D229" s="150"/>
      <c r="E229" s="150"/>
      <c r="F229" s="151"/>
      <c r="G229" s="151"/>
      <c r="H229" s="152"/>
      <c r="I229" s="152"/>
      <c r="J229" s="152"/>
      <c r="K229" s="152"/>
      <c r="L229" s="152"/>
      <c r="M229" s="152"/>
      <c r="N229" s="152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</row>
    <row r="230" ht="14.25" customHeight="1">
      <c r="A230" s="147"/>
      <c r="B230" s="148"/>
      <c r="C230" s="149"/>
      <c r="D230" s="150"/>
      <c r="E230" s="150"/>
      <c r="F230" s="151"/>
      <c r="G230" s="151"/>
      <c r="H230" s="152"/>
      <c r="I230" s="152"/>
      <c r="J230" s="152"/>
      <c r="K230" s="152"/>
      <c r="L230" s="152"/>
      <c r="M230" s="152"/>
      <c r="N230" s="152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</row>
    <row r="231" ht="14.25" customHeight="1">
      <c r="A231" s="147"/>
      <c r="B231" s="148"/>
      <c r="C231" s="149"/>
      <c r="D231" s="150"/>
      <c r="E231" s="150"/>
      <c r="F231" s="151"/>
      <c r="G231" s="151"/>
      <c r="H231" s="152"/>
      <c r="I231" s="152"/>
      <c r="J231" s="152"/>
      <c r="K231" s="152"/>
      <c r="L231" s="152"/>
      <c r="M231" s="152"/>
      <c r="N231" s="152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</row>
    <row r="232" ht="14.25" customHeight="1">
      <c r="A232" s="147"/>
      <c r="B232" s="148"/>
      <c r="C232" s="149"/>
      <c r="D232" s="150"/>
      <c r="E232" s="150"/>
      <c r="F232" s="151"/>
      <c r="G232" s="151"/>
      <c r="H232" s="152"/>
      <c r="I232" s="152"/>
      <c r="J232" s="152"/>
      <c r="K232" s="152"/>
      <c r="L232" s="152"/>
      <c r="M232" s="152"/>
      <c r="N232" s="152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</row>
    <row r="233" ht="14.25" customHeight="1">
      <c r="A233" s="147"/>
      <c r="B233" s="148"/>
      <c r="C233" s="149"/>
      <c r="D233" s="150"/>
      <c r="E233" s="150"/>
      <c r="F233" s="151"/>
      <c r="G233" s="151"/>
      <c r="H233" s="152"/>
      <c r="I233" s="152"/>
      <c r="J233" s="152"/>
      <c r="K233" s="152"/>
      <c r="L233" s="152"/>
      <c r="M233" s="152"/>
      <c r="N233" s="152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</row>
    <row r="234" ht="14.25" customHeight="1">
      <c r="A234" s="147"/>
      <c r="B234" s="148"/>
      <c r="C234" s="149"/>
      <c r="D234" s="150"/>
      <c r="E234" s="150"/>
      <c r="F234" s="151"/>
      <c r="G234" s="151"/>
      <c r="H234" s="152"/>
      <c r="I234" s="152"/>
      <c r="J234" s="152"/>
      <c r="K234" s="152"/>
      <c r="L234" s="152"/>
      <c r="M234" s="152"/>
      <c r="N234" s="152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</row>
    <row r="235" ht="14.25" customHeight="1">
      <c r="A235" s="147"/>
      <c r="B235" s="148"/>
      <c r="C235" s="149"/>
      <c r="D235" s="150"/>
      <c r="E235" s="150"/>
      <c r="F235" s="151"/>
      <c r="G235" s="151"/>
      <c r="H235" s="152"/>
      <c r="I235" s="152"/>
      <c r="J235" s="152"/>
      <c r="K235" s="152"/>
      <c r="L235" s="152"/>
      <c r="M235" s="152"/>
      <c r="N235" s="152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</row>
    <row r="236" ht="14.25" customHeight="1">
      <c r="A236" s="147"/>
      <c r="B236" s="148"/>
      <c r="C236" s="149"/>
      <c r="D236" s="150"/>
      <c r="E236" s="150"/>
      <c r="F236" s="151"/>
      <c r="G236" s="151"/>
      <c r="H236" s="152"/>
      <c r="I236" s="152"/>
      <c r="J236" s="152"/>
      <c r="K236" s="152"/>
      <c r="L236" s="152"/>
      <c r="M236" s="152"/>
      <c r="N236" s="152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</row>
    <row r="237" ht="14.25" customHeight="1">
      <c r="A237" s="147"/>
      <c r="B237" s="148"/>
      <c r="C237" s="149"/>
      <c r="D237" s="150"/>
      <c r="E237" s="150"/>
      <c r="F237" s="151"/>
      <c r="G237" s="151"/>
      <c r="H237" s="152"/>
      <c r="I237" s="152"/>
      <c r="J237" s="152"/>
      <c r="K237" s="152"/>
      <c r="L237" s="152"/>
      <c r="M237" s="152"/>
      <c r="N237" s="152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</row>
    <row r="238" ht="14.25" customHeight="1">
      <c r="A238" s="147"/>
      <c r="B238" s="148"/>
      <c r="C238" s="149"/>
      <c r="D238" s="150"/>
      <c r="E238" s="150"/>
      <c r="F238" s="151"/>
      <c r="G238" s="151"/>
      <c r="H238" s="152"/>
      <c r="I238" s="152"/>
      <c r="J238" s="152"/>
      <c r="K238" s="152"/>
      <c r="L238" s="152"/>
      <c r="M238" s="152"/>
      <c r="N238" s="152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</row>
    <row r="239" ht="14.25" customHeight="1">
      <c r="A239" s="147"/>
      <c r="B239" s="148"/>
      <c r="C239" s="149"/>
      <c r="D239" s="150"/>
      <c r="E239" s="150"/>
      <c r="F239" s="151"/>
      <c r="G239" s="151"/>
      <c r="H239" s="152"/>
      <c r="I239" s="152"/>
      <c r="J239" s="152"/>
      <c r="K239" s="152"/>
      <c r="L239" s="152"/>
      <c r="M239" s="152"/>
      <c r="N239" s="152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</row>
    <row r="240" ht="14.25" customHeight="1">
      <c r="A240" s="147"/>
      <c r="B240" s="148"/>
      <c r="C240" s="149"/>
      <c r="D240" s="150"/>
      <c r="E240" s="150"/>
      <c r="F240" s="151"/>
      <c r="G240" s="151"/>
      <c r="H240" s="152"/>
      <c r="I240" s="152"/>
      <c r="J240" s="152"/>
      <c r="K240" s="152"/>
      <c r="L240" s="152"/>
      <c r="M240" s="152"/>
      <c r="N240" s="152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</row>
    <row r="241" ht="14.25" customHeight="1">
      <c r="A241" s="147"/>
      <c r="B241" s="148"/>
      <c r="C241" s="149"/>
      <c r="D241" s="150"/>
      <c r="E241" s="150"/>
      <c r="F241" s="151"/>
      <c r="G241" s="151"/>
      <c r="H241" s="152"/>
      <c r="I241" s="152"/>
      <c r="J241" s="152"/>
      <c r="K241" s="152"/>
      <c r="L241" s="152"/>
      <c r="M241" s="152"/>
      <c r="N241" s="152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</row>
    <row r="242" ht="14.25" customHeight="1">
      <c r="A242" s="147"/>
      <c r="B242" s="148"/>
      <c r="C242" s="149"/>
      <c r="D242" s="150"/>
      <c r="E242" s="150"/>
      <c r="F242" s="151"/>
      <c r="G242" s="151"/>
      <c r="H242" s="152"/>
      <c r="I242" s="152"/>
      <c r="J242" s="152"/>
      <c r="K242" s="152"/>
      <c r="L242" s="152"/>
      <c r="M242" s="152"/>
      <c r="N242" s="152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</row>
    <row r="243" ht="14.25" customHeight="1">
      <c r="A243" s="147"/>
      <c r="B243" s="148"/>
      <c r="C243" s="149"/>
      <c r="D243" s="150"/>
      <c r="E243" s="150"/>
      <c r="F243" s="151"/>
      <c r="G243" s="151"/>
      <c r="H243" s="152"/>
      <c r="I243" s="152"/>
      <c r="J243" s="152"/>
      <c r="K243" s="152"/>
      <c r="L243" s="152"/>
      <c r="M243" s="152"/>
      <c r="N243" s="152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</row>
    <row r="244" ht="14.25" customHeight="1">
      <c r="A244" s="147"/>
      <c r="B244" s="148"/>
      <c r="C244" s="149"/>
      <c r="D244" s="150"/>
      <c r="E244" s="150"/>
      <c r="F244" s="151"/>
      <c r="G244" s="151"/>
      <c r="H244" s="152"/>
      <c r="I244" s="152"/>
      <c r="J244" s="152"/>
      <c r="K244" s="152"/>
      <c r="L244" s="152"/>
      <c r="M244" s="152"/>
      <c r="N244" s="152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</row>
    <row r="245" ht="14.25" customHeight="1">
      <c r="A245" s="147"/>
      <c r="B245" s="148"/>
      <c r="C245" s="149"/>
      <c r="D245" s="150"/>
      <c r="E245" s="150"/>
      <c r="F245" s="151"/>
      <c r="G245" s="151"/>
      <c r="H245" s="152"/>
      <c r="I245" s="152"/>
      <c r="J245" s="152"/>
      <c r="K245" s="152"/>
      <c r="L245" s="152"/>
      <c r="M245" s="152"/>
      <c r="N245" s="152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</row>
    <row r="246" ht="14.25" customHeight="1">
      <c r="A246" s="147"/>
      <c r="B246" s="148"/>
      <c r="C246" s="149"/>
      <c r="D246" s="150"/>
      <c r="E246" s="150"/>
      <c r="F246" s="151"/>
      <c r="G246" s="151"/>
      <c r="H246" s="152"/>
      <c r="I246" s="152"/>
      <c r="J246" s="152"/>
      <c r="K246" s="152"/>
      <c r="L246" s="152"/>
      <c r="M246" s="152"/>
      <c r="N246" s="152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</row>
    <row r="247" ht="14.25" customHeight="1">
      <c r="A247" s="147"/>
      <c r="B247" s="148"/>
      <c r="C247" s="149"/>
      <c r="D247" s="150"/>
      <c r="E247" s="150"/>
      <c r="F247" s="151"/>
      <c r="G247" s="151"/>
      <c r="H247" s="152"/>
      <c r="I247" s="152"/>
      <c r="J247" s="152"/>
      <c r="K247" s="152"/>
      <c r="L247" s="152"/>
      <c r="M247" s="152"/>
      <c r="N247" s="152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</row>
    <row r="248" ht="14.25" customHeight="1">
      <c r="A248" s="147"/>
      <c r="B248" s="148"/>
      <c r="C248" s="149"/>
      <c r="D248" s="150"/>
      <c r="E248" s="150"/>
      <c r="F248" s="151"/>
      <c r="G248" s="151"/>
      <c r="H248" s="152"/>
      <c r="I248" s="152"/>
      <c r="J248" s="152"/>
      <c r="K248" s="152"/>
      <c r="L248" s="152"/>
      <c r="M248" s="152"/>
      <c r="N248" s="152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</row>
    <row r="249" ht="14.25" customHeight="1">
      <c r="A249" s="147"/>
      <c r="B249" s="148"/>
      <c r="C249" s="149"/>
      <c r="D249" s="150"/>
      <c r="E249" s="150"/>
      <c r="F249" s="151"/>
      <c r="G249" s="151"/>
      <c r="H249" s="152"/>
      <c r="I249" s="152"/>
      <c r="J249" s="152"/>
      <c r="K249" s="152"/>
      <c r="L249" s="152"/>
      <c r="M249" s="152"/>
      <c r="N249" s="152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</row>
    <row r="250" ht="14.25" customHeight="1">
      <c r="A250" s="147"/>
      <c r="B250" s="148"/>
      <c r="C250" s="149"/>
      <c r="D250" s="150"/>
      <c r="E250" s="150"/>
      <c r="F250" s="151"/>
      <c r="G250" s="151"/>
      <c r="H250" s="152"/>
      <c r="I250" s="152"/>
      <c r="J250" s="152"/>
      <c r="K250" s="152"/>
      <c r="L250" s="152"/>
      <c r="M250" s="152"/>
      <c r="N250" s="152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</row>
    <row r="251" ht="14.25" customHeight="1">
      <c r="A251" s="147"/>
      <c r="B251" s="148"/>
      <c r="C251" s="149"/>
      <c r="D251" s="150"/>
      <c r="E251" s="150"/>
      <c r="F251" s="151"/>
      <c r="G251" s="151"/>
      <c r="H251" s="152"/>
      <c r="I251" s="152"/>
      <c r="J251" s="152"/>
      <c r="K251" s="152"/>
      <c r="L251" s="152"/>
      <c r="M251" s="152"/>
      <c r="N251" s="152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</row>
    <row r="252" ht="14.25" customHeight="1">
      <c r="A252" s="147"/>
      <c r="B252" s="148"/>
      <c r="C252" s="149"/>
      <c r="D252" s="150"/>
      <c r="E252" s="150"/>
      <c r="F252" s="151"/>
      <c r="G252" s="151"/>
      <c r="H252" s="152"/>
      <c r="I252" s="152"/>
      <c r="J252" s="152"/>
      <c r="K252" s="152"/>
      <c r="L252" s="152"/>
      <c r="M252" s="152"/>
      <c r="N252" s="152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</row>
    <row r="253" ht="14.25" customHeight="1">
      <c r="A253" s="147"/>
      <c r="B253" s="148"/>
      <c r="C253" s="149"/>
      <c r="D253" s="150"/>
      <c r="E253" s="150"/>
      <c r="F253" s="151"/>
      <c r="G253" s="151"/>
      <c r="H253" s="152"/>
      <c r="I253" s="152"/>
      <c r="J253" s="152"/>
      <c r="K253" s="152"/>
      <c r="L253" s="152"/>
      <c r="M253" s="152"/>
      <c r="N253" s="152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</row>
    <row r="254" ht="14.25" customHeight="1">
      <c r="A254" s="147"/>
      <c r="B254" s="148"/>
      <c r="C254" s="149"/>
      <c r="D254" s="150"/>
      <c r="E254" s="150"/>
      <c r="F254" s="151"/>
      <c r="G254" s="151"/>
      <c r="H254" s="152"/>
      <c r="I254" s="152"/>
      <c r="J254" s="152"/>
      <c r="K254" s="152"/>
      <c r="L254" s="152"/>
      <c r="M254" s="152"/>
      <c r="N254" s="152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</row>
    <row r="255" ht="14.25" customHeight="1">
      <c r="A255" s="147"/>
      <c r="B255" s="148"/>
      <c r="C255" s="149"/>
      <c r="D255" s="150"/>
      <c r="E255" s="150"/>
      <c r="F255" s="151"/>
      <c r="G255" s="151"/>
      <c r="H255" s="152"/>
      <c r="I255" s="152"/>
      <c r="J255" s="152"/>
      <c r="K255" s="152"/>
      <c r="L255" s="152"/>
      <c r="M255" s="152"/>
      <c r="N255" s="152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</row>
    <row r="256" ht="14.25" customHeight="1">
      <c r="A256" s="147"/>
      <c r="B256" s="148"/>
      <c r="C256" s="149"/>
      <c r="D256" s="150"/>
      <c r="E256" s="150"/>
      <c r="F256" s="151"/>
      <c r="G256" s="151"/>
      <c r="H256" s="152"/>
      <c r="I256" s="152"/>
      <c r="J256" s="152"/>
      <c r="K256" s="152"/>
      <c r="L256" s="152"/>
      <c r="M256" s="152"/>
      <c r="N256" s="152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</row>
    <row r="257" ht="14.25" customHeight="1">
      <c r="A257" s="147"/>
      <c r="B257" s="148"/>
      <c r="C257" s="149"/>
      <c r="D257" s="150"/>
      <c r="E257" s="150"/>
      <c r="F257" s="151"/>
      <c r="G257" s="151"/>
      <c r="H257" s="152"/>
      <c r="I257" s="152"/>
      <c r="J257" s="152"/>
      <c r="K257" s="152"/>
      <c r="L257" s="152"/>
      <c r="M257" s="152"/>
      <c r="N257" s="152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</row>
    <row r="258" ht="14.25" customHeight="1">
      <c r="A258" s="147"/>
      <c r="B258" s="148"/>
      <c r="C258" s="149"/>
      <c r="D258" s="150"/>
      <c r="E258" s="150"/>
      <c r="F258" s="151"/>
      <c r="G258" s="151"/>
      <c r="H258" s="152"/>
      <c r="I258" s="152"/>
      <c r="J258" s="152"/>
      <c r="K258" s="152"/>
      <c r="L258" s="152"/>
      <c r="M258" s="152"/>
      <c r="N258" s="152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</row>
    <row r="259" ht="14.25" customHeight="1">
      <c r="A259" s="147"/>
      <c r="B259" s="148"/>
      <c r="C259" s="149"/>
      <c r="D259" s="150"/>
      <c r="E259" s="150"/>
      <c r="F259" s="151"/>
      <c r="G259" s="151"/>
      <c r="H259" s="152"/>
      <c r="I259" s="152"/>
      <c r="J259" s="152"/>
      <c r="K259" s="152"/>
      <c r="L259" s="152"/>
      <c r="M259" s="152"/>
      <c r="N259" s="152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</row>
    <row r="260" ht="14.25" customHeight="1">
      <c r="A260" s="147"/>
      <c r="B260" s="148"/>
      <c r="C260" s="149"/>
      <c r="D260" s="150"/>
      <c r="E260" s="150"/>
      <c r="F260" s="151"/>
      <c r="G260" s="151"/>
      <c r="H260" s="152"/>
      <c r="I260" s="152"/>
      <c r="J260" s="152"/>
      <c r="K260" s="152"/>
      <c r="L260" s="152"/>
      <c r="M260" s="152"/>
      <c r="N260" s="152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</row>
    <row r="261" ht="14.25" customHeight="1">
      <c r="A261" s="147"/>
      <c r="B261" s="148"/>
      <c r="C261" s="149"/>
      <c r="D261" s="150"/>
      <c r="E261" s="150"/>
      <c r="F261" s="151"/>
      <c r="G261" s="151"/>
      <c r="H261" s="152"/>
      <c r="I261" s="152"/>
      <c r="J261" s="152"/>
      <c r="K261" s="152"/>
      <c r="L261" s="152"/>
      <c r="M261" s="152"/>
      <c r="N261" s="152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</row>
    <row r="262" ht="14.25" customHeight="1">
      <c r="A262" s="147"/>
      <c r="B262" s="148"/>
      <c r="C262" s="149"/>
      <c r="D262" s="150"/>
      <c r="E262" s="150"/>
      <c r="F262" s="151"/>
      <c r="G262" s="151"/>
      <c r="H262" s="152"/>
      <c r="I262" s="152"/>
      <c r="J262" s="152"/>
      <c r="K262" s="152"/>
      <c r="L262" s="152"/>
      <c r="M262" s="152"/>
      <c r="N262" s="152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</row>
    <row r="263" ht="14.25" customHeight="1">
      <c r="A263" s="147"/>
      <c r="B263" s="148"/>
      <c r="C263" s="149"/>
      <c r="D263" s="150"/>
      <c r="E263" s="150"/>
      <c r="F263" s="151"/>
      <c r="G263" s="151"/>
      <c r="H263" s="152"/>
      <c r="I263" s="152"/>
      <c r="J263" s="152"/>
      <c r="K263" s="152"/>
      <c r="L263" s="152"/>
      <c r="M263" s="152"/>
      <c r="N263" s="152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</row>
    <row r="264" ht="14.25" customHeight="1">
      <c r="A264" s="147"/>
      <c r="B264" s="148"/>
      <c r="C264" s="149"/>
      <c r="D264" s="150"/>
      <c r="E264" s="150"/>
      <c r="F264" s="151"/>
      <c r="G264" s="151"/>
      <c r="H264" s="152"/>
      <c r="I264" s="152"/>
      <c r="J264" s="152"/>
      <c r="K264" s="152"/>
      <c r="L264" s="152"/>
      <c r="M264" s="152"/>
      <c r="N264" s="152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</row>
    <row r="265" ht="14.25" customHeight="1">
      <c r="A265" s="147"/>
      <c r="B265" s="148"/>
      <c r="C265" s="149"/>
      <c r="D265" s="150"/>
      <c r="E265" s="150"/>
      <c r="F265" s="151"/>
      <c r="G265" s="151"/>
      <c r="H265" s="152"/>
      <c r="I265" s="152"/>
      <c r="J265" s="152"/>
      <c r="K265" s="152"/>
      <c r="L265" s="152"/>
      <c r="M265" s="152"/>
      <c r="N265" s="152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</row>
    <row r="266" ht="14.25" customHeight="1">
      <c r="A266" s="147"/>
      <c r="B266" s="148"/>
      <c r="C266" s="149"/>
      <c r="D266" s="150"/>
      <c r="E266" s="150"/>
      <c r="F266" s="151"/>
      <c r="G266" s="151"/>
      <c r="H266" s="152"/>
      <c r="I266" s="152"/>
      <c r="J266" s="152"/>
      <c r="K266" s="152"/>
      <c r="L266" s="152"/>
      <c r="M266" s="152"/>
      <c r="N266" s="152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</row>
    <row r="267" ht="14.25" customHeight="1">
      <c r="A267" s="147"/>
      <c r="B267" s="148"/>
      <c r="C267" s="149"/>
      <c r="D267" s="150"/>
      <c r="E267" s="150"/>
      <c r="F267" s="151"/>
      <c r="G267" s="151"/>
      <c r="H267" s="152"/>
      <c r="I267" s="152"/>
      <c r="J267" s="152"/>
      <c r="K267" s="152"/>
      <c r="L267" s="152"/>
      <c r="M267" s="152"/>
      <c r="N267" s="152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</row>
    <row r="268" ht="14.25" customHeight="1">
      <c r="A268" s="147"/>
      <c r="B268" s="148"/>
      <c r="C268" s="149"/>
      <c r="D268" s="150"/>
      <c r="E268" s="150"/>
      <c r="F268" s="151"/>
      <c r="G268" s="151"/>
      <c r="H268" s="152"/>
      <c r="I268" s="152"/>
      <c r="J268" s="152"/>
      <c r="K268" s="152"/>
      <c r="L268" s="152"/>
      <c r="M268" s="152"/>
      <c r="N268" s="152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</row>
    <row r="269" ht="14.25" customHeight="1">
      <c r="A269" s="147"/>
      <c r="B269" s="148"/>
      <c r="C269" s="149"/>
      <c r="D269" s="150"/>
      <c r="E269" s="150"/>
      <c r="F269" s="151"/>
      <c r="G269" s="151"/>
      <c r="H269" s="152"/>
      <c r="I269" s="152"/>
      <c r="J269" s="152"/>
      <c r="K269" s="152"/>
      <c r="L269" s="152"/>
      <c r="M269" s="152"/>
      <c r="N269" s="152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</row>
    <row r="270" ht="14.25" customHeight="1">
      <c r="A270" s="147"/>
      <c r="B270" s="148"/>
      <c r="C270" s="149"/>
      <c r="D270" s="150"/>
      <c r="E270" s="150"/>
      <c r="F270" s="151"/>
      <c r="G270" s="151"/>
      <c r="H270" s="152"/>
      <c r="I270" s="152"/>
      <c r="J270" s="152"/>
      <c r="K270" s="152"/>
      <c r="L270" s="152"/>
      <c r="M270" s="152"/>
      <c r="N270" s="152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</row>
    <row r="271" ht="14.25" customHeight="1">
      <c r="A271" s="147"/>
      <c r="B271" s="148"/>
      <c r="C271" s="149"/>
      <c r="D271" s="150"/>
      <c r="E271" s="150"/>
      <c r="F271" s="151"/>
      <c r="G271" s="151"/>
      <c r="H271" s="152"/>
      <c r="I271" s="152"/>
      <c r="J271" s="152"/>
      <c r="K271" s="152"/>
      <c r="L271" s="152"/>
      <c r="M271" s="152"/>
      <c r="N271" s="152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</row>
    <row r="272" ht="14.25" customHeight="1">
      <c r="A272" s="147"/>
      <c r="B272" s="148"/>
      <c r="C272" s="149"/>
      <c r="D272" s="150"/>
      <c r="E272" s="150"/>
      <c r="F272" s="151"/>
      <c r="G272" s="151"/>
      <c r="H272" s="152"/>
      <c r="I272" s="152"/>
      <c r="J272" s="152"/>
      <c r="K272" s="152"/>
      <c r="L272" s="152"/>
      <c r="M272" s="152"/>
      <c r="N272" s="152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</row>
    <row r="273" ht="14.25" customHeight="1">
      <c r="A273" s="147"/>
      <c r="B273" s="148"/>
      <c r="C273" s="149"/>
      <c r="D273" s="150"/>
      <c r="E273" s="150"/>
      <c r="F273" s="151"/>
      <c r="G273" s="151"/>
      <c r="H273" s="152"/>
      <c r="I273" s="152"/>
      <c r="J273" s="152"/>
      <c r="K273" s="152"/>
      <c r="L273" s="152"/>
      <c r="M273" s="152"/>
      <c r="N273" s="152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</row>
    <row r="274" ht="14.25" customHeight="1">
      <c r="A274" s="147"/>
      <c r="B274" s="148"/>
      <c r="C274" s="149"/>
      <c r="D274" s="150"/>
      <c r="E274" s="150"/>
      <c r="F274" s="151"/>
      <c r="G274" s="151"/>
      <c r="H274" s="152"/>
      <c r="I274" s="152"/>
      <c r="J274" s="152"/>
      <c r="K274" s="152"/>
      <c r="L274" s="152"/>
      <c r="M274" s="152"/>
      <c r="N274" s="152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</row>
    <row r="275" ht="14.25" customHeight="1">
      <c r="A275" s="147"/>
      <c r="B275" s="148"/>
      <c r="C275" s="149"/>
      <c r="D275" s="150"/>
      <c r="E275" s="150"/>
      <c r="F275" s="151"/>
      <c r="G275" s="151"/>
      <c r="H275" s="152"/>
      <c r="I275" s="152"/>
      <c r="J275" s="152"/>
      <c r="K275" s="152"/>
      <c r="L275" s="152"/>
      <c r="M275" s="152"/>
      <c r="N275" s="152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</row>
    <row r="276" ht="14.25" customHeight="1">
      <c r="A276" s="147"/>
      <c r="B276" s="148"/>
      <c r="C276" s="149"/>
      <c r="D276" s="150"/>
      <c r="E276" s="150"/>
      <c r="F276" s="151"/>
      <c r="G276" s="151"/>
      <c r="H276" s="152"/>
      <c r="I276" s="152"/>
      <c r="J276" s="152"/>
      <c r="K276" s="152"/>
      <c r="L276" s="152"/>
      <c r="M276" s="152"/>
      <c r="N276" s="152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</row>
    <row r="277" ht="14.25" customHeight="1">
      <c r="A277" s="147"/>
      <c r="B277" s="148"/>
      <c r="C277" s="149"/>
      <c r="D277" s="150"/>
      <c r="E277" s="150"/>
      <c r="F277" s="151"/>
      <c r="G277" s="151"/>
      <c r="H277" s="152"/>
      <c r="I277" s="152"/>
      <c r="J277" s="152"/>
      <c r="K277" s="152"/>
      <c r="L277" s="152"/>
      <c r="M277" s="152"/>
      <c r="N277" s="152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</row>
    <row r="278" ht="14.25" customHeight="1">
      <c r="A278" s="147"/>
      <c r="B278" s="148"/>
      <c r="C278" s="149"/>
      <c r="D278" s="150"/>
      <c r="E278" s="150"/>
      <c r="F278" s="151"/>
      <c r="G278" s="151"/>
      <c r="H278" s="152"/>
      <c r="I278" s="152"/>
      <c r="J278" s="152"/>
      <c r="K278" s="152"/>
      <c r="L278" s="152"/>
      <c r="M278" s="152"/>
      <c r="N278" s="152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</row>
    <row r="279" ht="14.25" customHeight="1">
      <c r="A279" s="147"/>
      <c r="B279" s="148"/>
      <c r="C279" s="149"/>
      <c r="D279" s="150"/>
      <c r="E279" s="150"/>
      <c r="F279" s="151"/>
      <c r="G279" s="151"/>
      <c r="H279" s="152"/>
      <c r="I279" s="152"/>
      <c r="J279" s="152"/>
      <c r="K279" s="152"/>
      <c r="L279" s="152"/>
      <c r="M279" s="152"/>
      <c r="N279" s="152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</row>
    <row r="280" ht="14.25" customHeight="1">
      <c r="A280" s="147"/>
      <c r="B280" s="148"/>
      <c r="C280" s="149"/>
      <c r="D280" s="150"/>
      <c r="E280" s="150"/>
      <c r="F280" s="151"/>
      <c r="G280" s="151"/>
      <c r="H280" s="152"/>
      <c r="I280" s="152"/>
      <c r="J280" s="152"/>
      <c r="K280" s="152"/>
      <c r="L280" s="152"/>
      <c r="M280" s="152"/>
      <c r="N280" s="152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</row>
    <row r="281" ht="14.25" customHeight="1">
      <c r="A281" s="147"/>
      <c r="B281" s="148"/>
      <c r="C281" s="149"/>
      <c r="D281" s="150"/>
      <c r="E281" s="150"/>
      <c r="F281" s="151"/>
      <c r="G281" s="151"/>
      <c r="H281" s="152"/>
      <c r="I281" s="152"/>
      <c r="J281" s="152"/>
      <c r="K281" s="152"/>
      <c r="L281" s="152"/>
      <c r="M281" s="152"/>
      <c r="N281" s="152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</row>
    <row r="282" ht="14.25" customHeight="1">
      <c r="A282" s="147"/>
      <c r="B282" s="148"/>
      <c r="C282" s="149"/>
      <c r="D282" s="150"/>
      <c r="E282" s="150"/>
      <c r="F282" s="151"/>
      <c r="G282" s="151"/>
      <c r="H282" s="152"/>
      <c r="I282" s="152"/>
      <c r="J282" s="152"/>
      <c r="K282" s="152"/>
      <c r="L282" s="152"/>
      <c r="M282" s="152"/>
      <c r="N282" s="152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</row>
    <row r="283" ht="14.25" customHeight="1">
      <c r="A283" s="147"/>
      <c r="B283" s="148"/>
      <c r="C283" s="149"/>
      <c r="D283" s="150"/>
      <c r="E283" s="150"/>
      <c r="F283" s="151"/>
      <c r="G283" s="151"/>
      <c r="H283" s="152"/>
      <c r="I283" s="152"/>
      <c r="J283" s="152"/>
      <c r="K283" s="152"/>
      <c r="L283" s="152"/>
      <c r="M283" s="152"/>
      <c r="N283" s="152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</row>
    <row r="284" ht="14.25" customHeight="1">
      <c r="A284" s="147"/>
      <c r="B284" s="148"/>
      <c r="C284" s="149"/>
      <c r="D284" s="150"/>
      <c r="E284" s="150"/>
      <c r="F284" s="151"/>
      <c r="G284" s="151"/>
      <c r="H284" s="152"/>
      <c r="I284" s="152"/>
      <c r="J284" s="152"/>
      <c r="K284" s="152"/>
      <c r="L284" s="152"/>
      <c r="M284" s="152"/>
      <c r="N284" s="152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</row>
    <row r="285" ht="14.25" customHeight="1">
      <c r="A285" s="147"/>
      <c r="B285" s="148"/>
      <c r="C285" s="149"/>
      <c r="D285" s="150"/>
      <c r="E285" s="150"/>
      <c r="F285" s="151"/>
      <c r="G285" s="151"/>
      <c r="H285" s="152"/>
      <c r="I285" s="152"/>
      <c r="J285" s="152"/>
      <c r="K285" s="152"/>
      <c r="L285" s="152"/>
      <c r="M285" s="152"/>
      <c r="N285" s="152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</row>
    <row r="286" ht="14.25" customHeight="1">
      <c r="A286" s="147"/>
      <c r="B286" s="148"/>
      <c r="C286" s="149"/>
      <c r="D286" s="150"/>
      <c r="E286" s="150"/>
      <c r="F286" s="151"/>
      <c r="G286" s="151"/>
      <c r="H286" s="152"/>
      <c r="I286" s="152"/>
      <c r="J286" s="152"/>
      <c r="K286" s="152"/>
      <c r="L286" s="152"/>
      <c r="M286" s="152"/>
      <c r="N286" s="152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</row>
    <row r="287" ht="14.25" customHeight="1">
      <c r="A287" s="147"/>
      <c r="B287" s="148"/>
      <c r="C287" s="149"/>
      <c r="D287" s="150"/>
      <c r="E287" s="150"/>
      <c r="F287" s="151"/>
      <c r="G287" s="151"/>
      <c r="H287" s="152"/>
      <c r="I287" s="152"/>
      <c r="J287" s="152"/>
      <c r="K287" s="152"/>
      <c r="L287" s="152"/>
      <c r="M287" s="152"/>
      <c r="N287" s="152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</row>
    <row r="288" ht="14.25" customHeight="1">
      <c r="A288" s="147"/>
      <c r="B288" s="148"/>
      <c r="C288" s="149"/>
      <c r="D288" s="150"/>
      <c r="E288" s="150"/>
      <c r="F288" s="151"/>
      <c r="G288" s="151"/>
      <c r="H288" s="152"/>
      <c r="I288" s="152"/>
      <c r="J288" s="152"/>
      <c r="K288" s="152"/>
      <c r="L288" s="152"/>
      <c r="M288" s="152"/>
      <c r="N288" s="152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</row>
    <row r="289" ht="14.25" customHeight="1">
      <c r="A289" s="147"/>
      <c r="B289" s="148"/>
      <c r="C289" s="149"/>
      <c r="D289" s="150"/>
      <c r="E289" s="150"/>
      <c r="F289" s="151"/>
      <c r="G289" s="151"/>
      <c r="H289" s="152"/>
      <c r="I289" s="152"/>
      <c r="J289" s="152"/>
      <c r="K289" s="152"/>
      <c r="L289" s="152"/>
      <c r="M289" s="152"/>
      <c r="N289" s="152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</row>
    <row r="290" ht="14.25" customHeight="1">
      <c r="A290" s="147"/>
      <c r="B290" s="148"/>
      <c r="C290" s="149"/>
      <c r="D290" s="150"/>
      <c r="E290" s="150"/>
      <c r="F290" s="151"/>
      <c r="G290" s="151"/>
      <c r="H290" s="152"/>
      <c r="I290" s="152"/>
      <c r="J290" s="152"/>
      <c r="K290" s="152"/>
      <c r="L290" s="152"/>
      <c r="M290" s="152"/>
      <c r="N290" s="152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</row>
    <row r="291" ht="14.25" customHeight="1">
      <c r="A291" s="147"/>
      <c r="B291" s="148"/>
      <c r="C291" s="149"/>
      <c r="D291" s="150"/>
      <c r="E291" s="150"/>
      <c r="F291" s="151"/>
      <c r="G291" s="151"/>
      <c r="H291" s="152"/>
      <c r="I291" s="152"/>
      <c r="J291" s="152"/>
      <c r="K291" s="152"/>
      <c r="L291" s="152"/>
      <c r="M291" s="152"/>
      <c r="N291" s="152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</row>
    <row r="292" ht="14.25" customHeight="1">
      <c r="A292" s="147"/>
      <c r="B292" s="148"/>
      <c r="C292" s="149"/>
      <c r="D292" s="150"/>
      <c r="E292" s="150"/>
      <c r="F292" s="151"/>
      <c r="G292" s="151"/>
      <c r="H292" s="152"/>
      <c r="I292" s="152"/>
      <c r="J292" s="152"/>
      <c r="K292" s="152"/>
      <c r="L292" s="152"/>
      <c r="M292" s="152"/>
      <c r="N292" s="152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</row>
    <row r="293" ht="14.25" customHeight="1">
      <c r="A293" s="147"/>
      <c r="B293" s="148"/>
      <c r="C293" s="149"/>
      <c r="D293" s="150"/>
      <c r="E293" s="150"/>
      <c r="F293" s="151"/>
      <c r="G293" s="151"/>
      <c r="H293" s="152"/>
      <c r="I293" s="152"/>
      <c r="J293" s="152"/>
      <c r="K293" s="152"/>
      <c r="L293" s="152"/>
      <c r="M293" s="152"/>
      <c r="N293" s="152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</row>
    <row r="294" ht="14.25" customHeight="1">
      <c r="A294" s="147"/>
      <c r="B294" s="148"/>
      <c r="C294" s="149"/>
      <c r="D294" s="150"/>
      <c r="E294" s="150"/>
      <c r="F294" s="151"/>
      <c r="G294" s="151"/>
      <c r="H294" s="152"/>
      <c r="I294" s="152"/>
      <c r="J294" s="152"/>
      <c r="K294" s="152"/>
      <c r="L294" s="152"/>
      <c r="M294" s="152"/>
      <c r="N294" s="152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</row>
    <row r="295" ht="14.25" customHeight="1">
      <c r="A295" s="147"/>
      <c r="B295" s="148"/>
      <c r="C295" s="149"/>
      <c r="D295" s="150"/>
      <c r="E295" s="150"/>
      <c r="F295" s="151"/>
      <c r="G295" s="151"/>
      <c r="H295" s="152"/>
      <c r="I295" s="152"/>
      <c r="J295" s="152"/>
      <c r="K295" s="152"/>
      <c r="L295" s="152"/>
      <c r="M295" s="152"/>
      <c r="N295" s="152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</row>
    <row r="296" ht="14.25" customHeight="1">
      <c r="A296" s="147"/>
      <c r="B296" s="148"/>
      <c r="C296" s="149"/>
      <c r="D296" s="150"/>
      <c r="E296" s="150"/>
      <c r="F296" s="151"/>
      <c r="G296" s="151"/>
      <c r="H296" s="152"/>
      <c r="I296" s="152"/>
      <c r="J296" s="152"/>
      <c r="K296" s="152"/>
      <c r="L296" s="152"/>
      <c r="M296" s="152"/>
      <c r="N296" s="152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</row>
    <row r="297" ht="14.25" customHeight="1">
      <c r="A297" s="147"/>
      <c r="B297" s="148"/>
      <c r="C297" s="149"/>
      <c r="D297" s="150"/>
      <c r="E297" s="150"/>
      <c r="F297" s="151"/>
      <c r="G297" s="151"/>
      <c r="H297" s="152"/>
      <c r="I297" s="152"/>
      <c r="J297" s="152"/>
      <c r="K297" s="152"/>
      <c r="L297" s="152"/>
      <c r="M297" s="152"/>
      <c r="N297" s="152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</row>
    <row r="298" ht="14.25" customHeight="1">
      <c r="A298" s="147"/>
      <c r="B298" s="148"/>
      <c r="C298" s="149"/>
      <c r="D298" s="150"/>
      <c r="E298" s="150"/>
      <c r="F298" s="151"/>
      <c r="G298" s="151"/>
      <c r="H298" s="152"/>
      <c r="I298" s="152"/>
      <c r="J298" s="152"/>
      <c r="K298" s="152"/>
      <c r="L298" s="152"/>
      <c r="M298" s="152"/>
      <c r="N298" s="152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</row>
    <row r="299" ht="14.25" customHeight="1">
      <c r="A299" s="147"/>
      <c r="B299" s="148"/>
      <c r="C299" s="149"/>
      <c r="D299" s="150"/>
      <c r="E299" s="150"/>
      <c r="F299" s="151"/>
      <c r="G299" s="151"/>
      <c r="H299" s="152"/>
      <c r="I299" s="152"/>
      <c r="J299" s="152"/>
      <c r="K299" s="152"/>
      <c r="L299" s="152"/>
      <c r="M299" s="152"/>
      <c r="N299" s="152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</row>
    <row r="300" ht="14.25" customHeight="1">
      <c r="A300" s="147"/>
      <c r="B300" s="148"/>
      <c r="C300" s="149"/>
      <c r="D300" s="150"/>
      <c r="E300" s="150"/>
      <c r="F300" s="151"/>
      <c r="G300" s="151"/>
      <c r="H300" s="152"/>
      <c r="I300" s="152"/>
      <c r="J300" s="152"/>
      <c r="K300" s="152"/>
      <c r="L300" s="152"/>
      <c r="M300" s="152"/>
      <c r="N300" s="152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</row>
    <row r="301" ht="14.25" customHeight="1">
      <c r="A301" s="147"/>
      <c r="B301" s="148"/>
      <c r="C301" s="149"/>
      <c r="D301" s="150"/>
      <c r="E301" s="150"/>
      <c r="F301" s="151"/>
      <c r="G301" s="151"/>
      <c r="H301" s="152"/>
      <c r="I301" s="152"/>
      <c r="J301" s="152"/>
      <c r="K301" s="152"/>
      <c r="L301" s="152"/>
      <c r="M301" s="152"/>
      <c r="N301" s="152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</row>
    <row r="302" ht="14.25" customHeight="1">
      <c r="A302" s="147"/>
      <c r="B302" s="148"/>
      <c r="C302" s="149"/>
      <c r="D302" s="150"/>
      <c r="E302" s="150"/>
      <c r="F302" s="151"/>
      <c r="G302" s="151"/>
      <c r="H302" s="152"/>
      <c r="I302" s="152"/>
      <c r="J302" s="152"/>
      <c r="K302" s="152"/>
      <c r="L302" s="152"/>
      <c r="M302" s="152"/>
      <c r="N302" s="152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</row>
    <row r="303" ht="14.25" customHeight="1">
      <c r="A303" s="147"/>
      <c r="B303" s="148"/>
      <c r="C303" s="149"/>
      <c r="D303" s="150"/>
      <c r="E303" s="150"/>
      <c r="F303" s="151"/>
      <c r="G303" s="151"/>
      <c r="H303" s="152"/>
      <c r="I303" s="152"/>
      <c r="J303" s="152"/>
      <c r="K303" s="152"/>
      <c r="L303" s="152"/>
      <c r="M303" s="152"/>
      <c r="N303" s="152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</row>
    <row r="304" ht="14.25" customHeight="1">
      <c r="A304" s="147"/>
      <c r="B304" s="148"/>
      <c r="C304" s="149"/>
      <c r="D304" s="150"/>
      <c r="E304" s="150"/>
      <c r="F304" s="151"/>
      <c r="G304" s="151"/>
      <c r="H304" s="152"/>
      <c r="I304" s="152"/>
      <c r="J304" s="152"/>
      <c r="K304" s="152"/>
      <c r="L304" s="152"/>
      <c r="M304" s="152"/>
      <c r="N304" s="152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</row>
    <row r="305" ht="14.25" customHeight="1">
      <c r="A305" s="147"/>
      <c r="B305" s="148"/>
      <c r="C305" s="149"/>
      <c r="D305" s="150"/>
      <c r="E305" s="150"/>
      <c r="F305" s="151"/>
      <c r="G305" s="151"/>
      <c r="H305" s="152"/>
      <c r="I305" s="152"/>
      <c r="J305" s="152"/>
      <c r="K305" s="152"/>
      <c r="L305" s="152"/>
      <c r="M305" s="152"/>
      <c r="N305" s="152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</row>
    <row r="306" ht="14.25" customHeight="1">
      <c r="A306" s="147"/>
      <c r="B306" s="148"/>
      <c r="C306" s="149"/>
      <c r="D306" s="150"/>
      <c r="E306" s="150"/>
      <c r="F306" s="151"/>
      <c r="G306" s="151"/>
      <c r="H306" s="152"/>
      <c r="I306" s="152"/>
      <c r="J306" s="152"/>
      <c r="K306" s="152"/>
      <c r="L306" s="152"/>
      <c r="M306" s="152"/>
      <c r="N306" s="152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</row>
    <row r="307" ht="14.25" customHeight="1">
      <c r="A307" s="147"/>
      <c r="B307" s="148"/>
      <c r="C307" s="149"/>
      <c r="D307" s="150"/>
      <c r="E307" s="150"/>
      <c r="F307" s="151"/>
      <c r="G307" s="151"/>
      <c r="H307" s="152"/>
      <c r="I307" s="152"/>
      <c r="J307" s="152"/>
      <c r="K307" s="152"/>
      <c r="L307" s="152"/>
      <c r="M307" s="152"/>
      <c r="N307" s="152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</row>
    <row r="308" ht="14.25" customHeight="1">
      <c r="A308" s="147"/>
      <c r="B308" s="148"/>
      <c r="C308" s="149"/>
      <c r="D308" s="150"/>
      <c r="E308" s="150"/>
      <c r="F308" s="151"/>
      <c r="G308" s="151"/>
      <c r="H308" s="152"/>
      <c r="I308" s="152"/>
      <c r="J308" s="152"/>
      <c r="K308" s="152"/>
      <c r="L308" s="152"/>
      <c r="M308" s="152"/>
      <c r="N308" s="152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</row>
    <row r="309" ht="14.25" customHeight="1">
      <c r="A309" s="147"/>
      <c r="B309" s="148"/>
      <c r="C309" s="149"/>
      <c r="D309" s="150"/>
      <c r="E309" s="150"/>
      <c r="F309" s="151"/>
      <c r="G309" s="151"/>
      <c r="H309" s="152"/>
      <c r="I309" s="152"/>
      <c r="J309" s="152"/>
      <c r="K309" s="152"/>
      <c r="L309" s="152"/>
      <c r="M309" s="152"/>
      <c r="N309" s="152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</row>
    <row r="310" ht="14.25" customHeight="1">
      <c r="A310" s="147"/>
      <c r="B310" s="148"/>
      <c r="C310" s="149"/>
      <c r="D310" s="150"/>
      <c r="E310" s="150"/>
      <c r="F310" s="151"/>
      <c r="G310" s="151"/>
      <c r="H310" s="152"/>
      <c r="I310" s="152"/>
      <c r="J310" s="152"/>
      <c r="K310" s="152"/>
      <c r="L310" s="152"/>
      <c r="M310" s="152"/>
      <c r="N310" s="152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</row>
    <row r="311" ht="14.25" customHeight="1">
      <c r="A311" s="147"/>
      <c r="B311" s="148"/>
      <c r="C311" s="149"/>
      <c r="D311" s="150"/>
      <c r="E311" s="150"/>
      <c r="F311" s="151"/>
      <c r="G311" s="151"/>
      <c r="H311" s="152"/>
      <c r="I311" s="152"/>
      <c r="J311" s="152"/>
      <c r="K311" s="152"/>
      <c r="L311" s="152"/>
      <c r="M311" s="152"/>
      <c r="N311" s="152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</row>
    <row r="312" ht="14.25" customHeight="1">
      <c r="A312" s="147"/>
      <c r="B312" s="148"/>
      <c r="C312" s="149"/>
      <c r="D312" s="150"/>
      <c r="E312" s="150"/>
      <c r="F312" s="151"/>
      <c r="G312" s="151"/>
      <c r="H312" s="152"/>
      <c r="I312" s="152"/>
      <c r="J312" s="152"/>
      <c r="K312" s="152"/>
      <c r="L312" s="152"/>
      <c r="M312" s="152"/>
      <c r="N312" s="152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</row>
    <row r="313" ht="14.25" customHeight="1">
      <c r="A313" s="147"/>
      <c r="B313" s="148"/>
      <c r="C313" s="149"/>
      <c r="D313" s="150"/>
      <c r="E313" s="150"/>
      <c r="F313" s="151"/>
      <c r="G313" s="151"/>
      <c r="H313" s="152"/>
      <c r="I313" s="152"/>
      <c r="J313" s="152"/>
      <c r="K313" s="152"/>
      <c r="L313" s="152"/>
      <c r="M313" s="152"/>
      <c r="N313" s="152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</row>
    <row r="314" ht="14.25" customHeight="1">
      <c r="A314" s="147"/>
      <c r="B314" s="148"/>
      <c r="C314" s="149"/>
      <c r="D314" s="150"/>
      <c r="E314" s="150"/>
      <c r="F314" s="151"/>
      <c r="G314" s="151"/>
      <c r="H314" s="152"/>
      <c r="I314" s="152"/>
      <c r="J314" s="152"/>
      <c r="K314" s="152"/>
      <c r="L314" s="152"/>
      <c r="M314" s="152"/>
      <c r="N314" s="152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</row>
    <row r="315" ht="14.25" customHeight="1">
      <c r="A315" s="147"/>
      <c r="B315" s="148"/>
      <c r="C315" s="149"/>
      <c r="D315" s="150"/>
      <c r="E315" s="150"/>
      <c r="F315" s="151"/>
      <c r="G315" s="151"/>
      <c r="H315" s="152"/>
      <c r="I315" s="152"/>
      <c r="J315" s="152"/>
      <c r="K315" s="152"/>
      <c r="L315" s="152"/>
      <c r="M315" s="152"/>
      <c r="N315" s="152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</row>
    <row r="316" ht="14.25" customHeight="1">
      <c r="A316" s="147"/>
      <c r="B316" s="148"/>
      <c r="C316" s="149"/>
      <c r="D316" s="150"/>
      <c r="E316" s="150"/>
      <c r="F316" s="151"/>
      <c r="G316" s="151"/>
      <c r="H316" s="152"/>
      <c r="I316" s="152"/>
      <c r="J316" s="152"/>
      <c r="K316" s="152"/>
      <c r="L316" s="152"/>
      <c r="M316" s="152"/>
      <c r="N316" s="152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</row>
    <row r="317" ht="14.25" customHeight="1">
      <c r="A317" s="147"/>
      <c r="B317" s="148"/>
      <c r="C317" s="149"/>
      <c r="D317" s="150"/>
      <c r="E317" s="150"/>
      <c r="F317" s="151"/>
      <c r="G317" s="151"/>
      <c r="H317" s="152"/>
      <c r="I317" s="152"/>
      <c r="J317" s="152"/>
      <c r="K317" s="152"/>
      <c r="L317" s="152"/>
      <c r="M317" s="152"/>
      <c r="N317" s="152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</row>
    <row r="318" ht="14.25" customHeight="1">
      <c r="A318" s="147"/>
      <c r="B318" s="148"/>
      <c r="C318" s="149"/>
      <c r="D318" s="150"/>
      <c r="E318" s="150"/>
      <c r="F318" s="151"/>
      <c r="G318" s="151"/>
      <c r="H318" s="152"/>
      <c r="I318" s="152"/>
      <c r="J318" s="152"/>
      <c r="K318" s="152"/>
      <c r="L318" s="152"/>
      <c r="M318" s="152"/>
      <c r="N318" s="152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</row>
    <row r="319" ht="14.25" customHeight="1">
      <c r="A319" s="147"/>
      <c r="B319" s="148"/>
      <c r="C319" s="149"/>
      <c r="D319" s="150"/>
      <c r="E319" s="150"/>
      <c r="F319" s="151"/>
      <c r="G319" s="151"/>
      <c r="H319" s="152"/>
      <c r="I319" s="152"/>
      <c r="J319" s="152"/>
      <c r="K319" s="152"/>
      <c r="L319" s="152"/>
      <c r="M319" s="152"/>
      <c r="N319" s="152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</row>
    <row r="320" ht="14.25" customHeight="1">
      <c r="A320" s="147"/>
      <c r="B320" s="148"/>
      <c r="C320" s="149"/>
      <c r="D320" s="150"/>
      <c r="E320" s="150"/>
      <c r="F320" s="151"/>
      <c r="G320" s="151"/>
      <c r="H320" s="152"/>
      <c r="I320" s="152"/>
      <c r="J320" s="152"/>
      <c r="K320" s="152"/>
      <c r="L320" s="152"/>
      <c r="M320" s="152"/>
      <c r="N320" s="152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</row>
    <row r="321" ht="14.25" customHeight="1">
      <c r="A321" s="147"/>
      <c r="B321" s="148"/>
      <c r="C321" s="149"/>
      <c r="D321" s="150"/>
      <c r="E321" s="150"/>
      <c r="F321" s="151"/>
      <c r="G321" s="151"/>
      <c r="H321" s="152"/>
      <c r="I321" s="152"/>
      <c r="J321" s="152"/>
      <c r="K321" s="152"/>
      <c r="L321" s="152"/>
      <c r="M321" s="152"/>
      <c r="N321" s="152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</row>
    <row r="322" ht="14.25" customHeight="1">
      <c r="A322" s="147"/>
      <c r="B322" s="148"/>
      <c r="C322" s="149"/>
      <c r="D322" s="150"/>
      <c r="E322" s="150"/>
      <c r="F322" s="151"/>
      <c r="G322" s="151"/>
      <c r="H322" s="152"/>
      <c r="I322" s="152"/>
      <c r="J322" s="152"/>
      <c r="K322" s="152"/>
      <c r="L322" s="152"/>
      <c r="M322" s="152"/>
      <c r="N322" s="152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</row>
    <row r="323" ht="14.25" customHeight="1">
      <c r="A323" s="147"/>
      <c r="B323" s="148"/>
      <c r="C323" s="149"/>
      <c r="D323" s="150"/>
      <c r="E323" s="150"/>
      <c r="F323" s="151"/>
      <c r="G323" s="151"/>
      <c r="H323" s="152"/>
      <c r="I323" s="152"/>
      <c r="J323" s="152"/>
      <c r="K323" s="152"/>
      <c r="L323" s="152"/>
      <c r="M323" s="152"/>
      <c r="N323" s="152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</row>
    <row r="324" ht="14.25" customHeight="1">
      <c r="A324" s="147"/>
      <c r="B324" s="148"/>
      <c r="C324" s="149"/>
      <c r="D324" s="150"/>
      <c r="E324" s="150"/>
      <c r="F324" s="151"/>
      <c r="G324" s="151"/>
      <c r="H324" s="152"/>
      <c r="I324" s="152"/>
      <c r="J324" s="152"/>
      <c r="K324" s="152"/>
      <c r="L324" s="152"/>
      <c r="M324" s="152"/>
      <c r="N324" s="152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</row>
    <row r="325" ht="14.25" customHeight="1">
      <c r="A325" s="147"/>
      <c r="B325" s="148"/>
      <c r="C325" s="149"/>
      <c r="D325" s="150"/>
      <c r="E325" s="150"/>
      <c r="F325" s="151"/>
      <c r="G325" s="151"/>
      <c r="H325" s="152"/>
      <c r="I325" s="152"/>
      <c r="J325" s="152"/>
      <c r="K325" s="152"/>
      <c r="L325" s="152"/>
      <c r="M325" s="152"/>
      <c r="N325" s="152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</row>
    <row r="326" ht="14.25" customHeight="1">
      <c r="A326" s="147"/>
      <c r="B326" s="148"/>
      <c r="C326" s="149"/>
      <c r="D326" s="150"/>
      <c r="E326" s="150"/>
      <c r="F326" s="151"/>
      <c r="G326" s="151"/>
      <c r="H326" s="152"/>
      <c r="I326" s="152"/>
      <c r="J326" s="152"/>
      <c r="K326" s="152"/>
      <c r="L326" s="152"/>
      <c r="M326" s="152"/>
      <c r="N326" s="152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</row>
    <row r="327" ht="14.25" customHeight="1">
      <c r="A327" s="147"/>
      <c r="B327" s="148"/>
      <c r="C327" s="149"/>
      <c r="D327" s="150"/>
      <c r="E327" s="150"/>
      <c r="F327" s="151"/>
      <c r="G327" s="151"/>
      <c r="H327" s="152"/>
      <c r="I327" s="152"/>
      <c r="J327" s="152"/>
      <c r="K327" s="152"/>
      <c r="L327" s="152"/>
      <c r="M327" s="152"/>
      <c r="N327" s="152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</row>
    <row r="328" ht="14.25" customHeight="1">
      <c r="A328" s="147"/>
      <c r="B328" s="148"/>
      <c r="C328" s="149"/>
      <c r="D328" s="150"/>
      <c r="E328" s="150"/>
      <c r="F328" s="151"/>
      <c r="G328" s="151"/>
      <c r="H328" s="152"/>
      <c r="I328" s="152"/>
      <c r="J328" s="152"/>
      <c r="K328" s="152"/>
      <c r="L328" s="152"/>
      <c r="M328" s="152"/>
      <c r="N328" s="152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</row>
    <row r="329" ht="14.25" customHeight="1">
      <c r="A329" s="147"/>
      <c r="B329" s="148"/>
      <c r="C329" s="149"/>
      <c r="D329" s="150"/>
      <c r="E329" s="150"/>
      <c r="F329" s="151"/>
      <c r="G329" s="151"/>
      <c r="H329" s="152"/>
      <c r="I329" s="152"/>
      <c r="J329" s="152"/>
      <c r="K329" s="152"/>
      <c r="L329" s="152"/>
      <c r="M329" s="152"/>
      <c r="N329" s="152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</row>
    <row r="330" ht="14.25" customHeight="1">
      <c r="A330" s="147"/>
      <c r="B330" s="148"/>
      <c r="C330" s="149"/>
      <c r="D330" s="150"/>
      <c r="E330" s="150"/>
      <c r="F330" s="151"/>
      <c r="G330" s="151"/>
      <c r="H330" s="152"/>
      <c r="I330" s="152"/>
      <c r="J330" s="152"/>
      <c r="K330" s="152"/>
      <c r="L330" s="152"/>
      <c r="M330" s="152"/>
      <c r="N330" s="152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</row>
    <row r="331" ht="14.25" customHeight="1">
      <c r="A331" s="147"/>
      <c r="B331" s="148"/>
      <c r="C331" s="149"/>
      <c r="D331" s="150"/>
      <c r="E331" s="150"/>
      <c r="F331" s="151"/>
      <c r="G331" s="151"/>
      <c r="H331" s="152"/>
      <c r="I331" s="152"/>
      <c r="J331" s="152"/>
      <c r="K331" s="152"/>
      <c r="L331" s="152"/>
      <c r="M331" s="152"/>
      <c r="N331" s="152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</row>
    <row r="332" ht="14.25" customHeight="1">
      <c r="A332" s="147"/>
      <c r="B332" s="148"/>
      <c r="C332" s="149"/>
      <c r="D332" s="150"/>
      <c r="E332" s="150"/>
      <c r="F332" s="151"/>
      <c r="G332" s="151"/>
      <c r="H332" s="152"/>
      <c r="I332" s="152"/>
      <c r="J332" s="152"/>
      <c r="K332" s="152"/>
      <c r="L332" s="152"/>
      <c r="M332" s="152"/>
      <c r="N332" s="152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</row>
    <row r="333" ht="14.25" customHeight="1">
      <c r="A333" s="147"/>
      <c r="B333" s="148"/>
      <c r="C333" s="149"/>
      <c r="D333" s="150"/>
      <c r="E333" s="150"/>
      <c r="F333" s="151"/>
      <c r="G333" s="151"/>
      <c r="H333" s="152"/>
      <c r="I333" s="152"/>
      <c r="J333" s="152"/>
      <c r="K333" s="152"/>
      <c r="L333" s="152"/>
      <c r="M333" s="152"/>
      <c r="N333" s="152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</row>
    <row r="334" ht="14.25" customHeight="1">
      <c r="A334" s="147"/>
      <c r="B334" s="148"/>
      <c r="C334" s="149"/>
      <c r="D334" s="150"/>
      <c r="E334" s="150"/>
      <c r="F334" s="151"/>
      <c r="G334" s="151"/>
      <c r="H334" s="152"/>
      <c r="I334" s="152"/>
      <c r="J334" s="152"/>
      <c r="K334" s="152"/>
      <c r="L334" s="152"/>
      <c r="M334" s="152"/>
      <c r="N334" s="152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</row>
    <row r="335" ht="14.25" customHeight="1">
      <c r="A335" s="147"/>
      <c r="B335" s="148"/>
      <c r="C335" s="149"/>
      <c r="D335" s="150"/>
      <c r="E335" s="150"/>
      <c r="F335" s="151"/>
      <c r="G335" s="151"/>
      <c r="H335" s="152"/>
      <c r="I335" s="152"/>
      <c r="J335" s="152"/>
      <c r="K335" s="152"/>
      <c r="L335" s="152"/>
      <c r="M335" s="152"/>
      <c r="N335" s="152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</row>
    <row r="336" ht="14.25" customHeight="1">
      <c r="A336" s="147"/>
      <c r="B336" s="148"/>
      <c r="C336" s="149"/>
      <c r="D336" s="150"/>
      <c r="E336" s="150"/>
      <c r="F336" s="151"/>
      <c r="G336" s="151"/>
      <c r="H336" s="152"/>
      <c r="I336" s="152"/>
      <c r="J336" s="152"/>
      <c r="K336" s="152"/>
      <c r="L336" s="152"/>
      <c r="M336" s="152"/>
      <c r="N336" s="152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</row>
    <row r="337" ht="14.25" customHeight="1">
      <c r="A337" s="147"/>
      <c r="B337" s="148"/>
      <c r="C337" s="149"/>
      <c r="D337" s="150"/>
      <c r="E337" s="150"/>
      <c r="F337" s="151"/>
      <c r="G337" s="151"/>
      <c r="H337" s="152"/>
      <c r="I337" s="152"/>
      <c r="J337" s="152"/>
      <c r="K337" s="152"/>
      <c r="L337" s="152"/>
      <c r="M337" s="152"/>
      <c r="N337" s="152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</row>
    <row r="338" ht="14.25" customHeight="1">
      <c r="A338" s="147"/>
      <c r="B338" s="148"/>
      <c r="C338" s="149"/>
      <c r="D338" s="150"/>
      <c r="E338" s="150"/>
      <c r="F338" s="151"/>
      <c r="G338" s="151"/>
      <c r="H338" s="152"/>
      <c r="I338" s="152"/>
      <c r="J338" s="152"/>
      <c r="K338" s="152"/>
      <c r="L338" s="152"/>
      <c r="M338" s="152"/>
      <c r="N338" s="152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</row>
    <row r="339" ht="14.25" customHeight="1">
      <c r="A339" s="147"/>
      <c r="B339" s="148"/>
      <c r="C339" s="149"/>
      <c r="D339" s="150"/>
      <c r="E339" s="150"/>
      <c r="F339" s="151"/>
      <c r="G339" s="151"/>
      <c r="H339" s="152"/>
      <c r="I339" s="152"/>
      <c r="J339" s="152"/>
      <c r="K339" s="152"/>
      <c r="L339" s="152"/>
      <c r="M339" s="152"/>
      <c r="N339" s="152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</row>
    <row r="340" ht="14.25" customHeight="1">
      <c r="A340" s="147"/>
      <c r="B340" s="148"/>
      <c r="C340" s="149"/>
      <c r="D340" s="150"/>
      <c r="E340" s="150"/>
      <c r="F340" s="151"/>
      <c r="G340" s="151"/>
      <c r="H340" s="152"/>
      <c r="I340" s="152"/>
      <c r="J340" s="152"/>
      <c r="K340" s="152"/>
      <c r="L340" s="152"/>
      <c r="M340" s="152"/>
      <c r="N340" s="152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</row>
    <row r="341" ht="14.25" customHeight="1">
      <c r="A341" s="147"/>
      <c r="B341" s="148"/>
      <c r="C341" s="149"/>
      <c r="D341" s="150"/>
      <c r="E341" s="150"/>
      <c r="F341" s="151"/>
      <c r="G341" s="151"/>
      <c r="H341" s="152"/>
      <c r="I341" s="152"/>
      <c r="J341" s="152"/>
      <c r="K341" s="152"/>
      <c r="L341" s="152"/>
      <c r="M341" s="152"/>
      <c r="N341" s="152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</row>
    <row r="342" ht="14.25" customHeight="1">
      <c r="A342" s="147"/>
      <c r="B342" s="148"/>
      <c r="C342" s="149"/>
      <c r="D342" s="150"/>
      <c r="E342" s="150"/>
      <c r="F342" s="151"/>
      <c r="G342" s="151"/>
      <c r="H342" s="152"/>
      <c r="I342" s="152"/>
      <c r="J342" s="152"/>
      <c r="K342" s="152"/>
      <c r="L342" s="152"/>
      <c r="M342" s="152"/>
      <c r="N342" s="152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</row>
    <row r="343" ht="14.25" customHeight="1">
      <c r="A343" s="147"/>
      <c r="B343" s="148"/>
      <c r="C343" s="149"/>
      <c r="D343" s="150"/>
      <c r="E343" s="150"/>
      <c r="F343" s="151"/>
      <c r="G343" s="151"/>
      <c r="H343" s="152"/>
      <c r="I343" s="152"/>
      <c r="J343" s="152"/>
      <c r="K343" s="152"/>
      <c r="L343" s="152"/>
      <c r="M343" s="152"/>
      <c r="N343" s="152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</row>
    <row r="344" ht="14.25" customHeight="1">
      <c r="A344" s="147"/>
      <c r="B344" s="148"/>
      <c r="C344" s="149"/>
      <c r="D344" s="150"/>
      <c r="E344" s="150"/>
      <c r="F344" s="151"/>
      <c r="G344" s="151"/>
      <c r="H344" s="152"/>
      <c r="I344" s="152"/>
      <c r="J344" s="152"/>
      <c r="K344" s="152"/>
      <c r="L344" s="152"/>
      <c r="M344" s="152"/>
      <c r="N344" s="152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</row>
    <row r="345" ht="14.25" customHeight="1">
      <c r="A345" s="147"/>
      <c r="B345" s="148"/>
      <c r="C345" s="149"/>
      <c r="D345" s="150"/>
      <c r="E345" s="150"/>
      <c r="F345" s="151"/>
      <c r="G345" s="151"/>
      <c r="H345" s="152"/>
      <c r="I345" s="152"/>
      <c r="J345" s="152"/>
      <c r="K345" s="152"/>
      <c r="L345" s="152"/>
      <c r="M345" s="152"/>
      <c r="N345" s="152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</row>
    <row r="346" ht="14.25" customHeight="1">
      <c r="A346" s="147"/>
      <c r="B346" s="148"/>
      <c r="C346" s="149"/>
      <c r="D346" s="150"/>
      <c r="E346" s="150"/>
      <c r="F346" s="151"/>
      <c r="G346" s="151"/>
      <c r="H346" s="152"/>
      <c r="I346" s="152"/>
      <c r="J346" s="152"/>
      <c r="K346" s="152"/>
      <c r="L346" s="152"/>
      <c r="M346" s="152"/>
      <c r="N346" s="152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</row>
    <row r="347" ht="14.25" customHeight="1">
      <c r="A347" s="147"/>
      <c r="B347" s="148"/>
      <c r="C347" s="149"/>
      <c r="D347" s="150"/>
      <c r="E347" s="150"/>
      <c r="F347" s="151"/>
      <c r="G347" s="151"/>
      <c r="H347" s="152"/>
      <c r="I347" s="152"/>
      <c r="J347" s="152"/>
      <c r="K347" s="152"/>
      <c r="L347" s="152"/>
      <c r="M347" s="152"/>
      <c r="N347" s="152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</row>
    <row r="348" ht="14.25" customHeight="1">
      <c r="A348" s="147"/>
      <c r="B348" s="148"/>
      <c r="C348" s="149"/>
      <c r="D348" s="150"/>
      <c r="E348" s="150"/>
      <c r="F348" s="151"/>
      <c r="G348" s="151"/>
      <c r="H348" s="152"/>
      <c r="I348" s="152"/>
      <c r="J348" s="152"/>
      <c r="K348" s="152"/>
      <c r="L348" s="152"/>
      <c r="M348" s="152"/>
      <c r="N348" s="152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</row>
    <row r="349" ht="14.25" customHeight="1">
      <c r="A349" s="147"/>
      <c r="B349" s="148"/>
      <c r="C349" s="149"/>
      <c r="D349" s="150"/>
      <c r="E349" s="150"/>
      <c r="F349" s="151"/>
      <c r="G349" s="151"/>
      <c r="H349" s="152"/>
      <c r="I349" s="152"/>
      <c r="J349" s="152"/>
      <c r="K349" s="152"/>
      <c r="L349" s="152"/>
      <c r="M349" s="152"/>
      <c r="N349" s="152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</row>
    <row r="350" ht="14.25" customHeight="1">
      <c r="A350" s="147"/>
      <c r="B350" s="148"/>
      <c r="C350" s="149"/>
      <c r="D350" s="150"/>
      <c r="E350" s="150"/>
      <c r="F350" s="151"/>
      <c r="G350" s="151"/>
      <c r="H350" s="152"/>
      <c r="I350" s="152"/>
      <c r="J350" s="152"/>
      <c r="K350" s="152"/>
      <c r="L350" s="152"/>
      <c r="M350" s="152"/>
      <c r="N350" s="152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</row>
    <row r="351" ht="14.25" customHeight="1">
      <c r="A351" s="147"/>
      <c r="B351" s="148"/>
      <c r="C351" s="149"/>
      <c r="D351" s="150"/>
      <c r="E351" s="150"/>
      <c r="F351" s="151"/>
      <c r="G351" s="151"/>
      <c r="H351" s="152"/>
      <c r="I351" s="152"/>
      <c r="J351" s="152"/>
      <c r="K351" s="152"/>
      <c r="L351" s="152"/>
      <c r="M351" s="152"/>
      <c r="N351" s="152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</row>
    <row r="352" ht="14.25" customHeight="1">
      <c r="A352" s="147"/>
      <c r="B352" s="148"/>
      <c r="C352" s="149"/>
      <c r="D352" s="150"/>
      <c r="E352" s="150"/>
      <c r="F352" s="151"/>
      <c r="G352" s="151"/>
      <c r="H352" s="152"/>
      <c r="I352" s="152"/>
      <c r="J352" s="152"/>
      <c r="K352" s="152"/>
      <c r="L352" s="152"/>
      <c r="M352" s="152"/>
      <c r="N352" s="152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</row>
    <row r="353" ht="14.25" customHeight="1">
      <c r="A353" s="147"/>
      <c r="B353" s="148"/>
      <c r="C353" s="149"/>
      <c r="D353" s="150"/>
      <c r="E353" s="150"/>
      <c r="F353" s="151"/>
      <c r="G353" s="151"/>
      <c r="H353" s="152"/>
      <c r="I353" s="152"/>
      <c r="J353" s="152"/>
      <c r="K353" s="152"/>
      <c r="L353" s="152"/>
      <c r="M353" s="152"/>
      <c r="N353" s="152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</row>
    <row r="354" ht="14.25" customHeight="1">
      <c r="A354" s="147"/>
      <c r="B354" s="148"/>
      <c r="C354" s="149"/>
      <c r="D354" s="150"/>
      <c r="E354" s="150"/>
      <c r="F354" s="151"/>
      <c r="G354" s="151"/>
      <c r="H354" s="152"/>
      <c r="I354" s="152"/>
      <c r="J354" s="152"/>
      <c r="K354" s="152"/>
      <c r="L354" s="152"/>
      <c r="M354" s="152"/>
      <c r="N354" s="152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</row>
    <row r="355" ht="14.25" customHeight="1">
      <c r="A355" s="147"/>
      <c r="B355" s="148"/>
      <c r="C355" s="149"/>
      <c r="D355" s="150"/>
      <c r="E355" s="150"/>
      <c r="F355" s="151"/>
      <c r="G355" s="151"/>
      <c r="H355" s="152"/>
      <c r="I355" s="152"/>
      <c r="J355" s="152"/>
      <c r="K355" s="152"/>
      <c r="L355" s="152"/>
      <c r="M355" s="152"/>
      <c r="N355" s="152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</row>
    <row r="356" ht="14.25" customHeight="1">
      <c r="A356" s="147"/>
      <c r="B356" s="148"/>
      <c r="C356" s="149"/>
      <c r="D356" s="150"/>
      <c r="E356" s="150"/>
      <c r="F356" s="151"/>
      <c r="G356" s="151"/>
      <c r="H356" s="152"/>
      <c r="I356" s="152"/>
      <c r="J356" s="152"/>
      <c r="K356" s="152"/>
      <c r="L356" s="152"/>
      <c r="M356" s="152"/>
      <c r="N356" s="152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</row>
    <row r="357" ht="14.25" customHeight="1">
      <c r="A357" s="147"/>
      <c r="B357" s="148"/>
      <c r="C357" s="149"/>
      <c r="D357" s="150"/>
      <c r="E357" s="150"/>
      <c r="F357" s="151"/>
      <c r="G357" s="151"/>
      <c r="H357" s="152"/>
      <c r="I357" s="152"/>
      <c r="J357" s="152"/>
      <c r="K357" s="152"/>
      <c r="L357" s="152"/>
      <c r="M357" s="152"/>
      <c r="N357" s="152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</row>
    <row r="358" ht="14.25" customHeight="1">
      <c r="A358" s="147"/>
      <c r="B358" s="148"/>
      <c r="C358" s="149"/>
      <c r="D358" s="150"/>
      <c r="E358" s="150"/>
      <c r="F358" s="151"/>
      <c r="G358" s="151"/>
      <c r="H358" s="152"/>
      <c r="I358" s="152"/>
      <c r="J358" s="152"/>
      <c r="K358" s="152"/>
      <c r="L358" s="152"/>
      <c r="M358" s="152"/>
      <c r="N358" s="152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</row>
    <row r="359" ht="14.25" customHeight="1">
      <c r="A359" s="147"/>
      <c r="B359" s="148"/>
      <c r="C359" s="149"/>
      <c r="D359" s="150"/>
      <c r="E359" s="150"/>
      <c r="F359" s="151"/>
      <c r="G359" s="151"/>
      <c r="H359" s="152"/>
      <c r="I359" s="152"/>
      <c r="J359" s="152"/>
      <c r="K359" s="152"/>
      <c r="L359" s="152"/>
      <c r="M359" s="152"/>
      <c r="N359" s="152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</row>
    <row r="360" ht="14.25" customHeight="1">
      <c r="A360" s="147"/>
      <c r="B360" s="148"/>
      <c r="C360" s="149"/>
      <c r="D360" s="150"/>
      <c r="E360" s="150"/>
      <c r="F360" s="151"/>
      <c r="G360" s="151"/>
      <c r="H360" s="152"/>
      <c r="I360" s="152"/>
      <c r="J360" s="152"/>
      <c r="K360" s="152"/>
      <c r="L360" s="152"/>
      <c r="M360" s="152"/>
      <c r="N360" s="152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</row>
    <row r="361" ht="14.25" customHeight="1">
      <c r="A361" s="147"/>
      <c r="B361" s="148"/>
      <c r="C361" s="149"/>
      <c r="D361" s="150"/>
      <c r="E361" s="150"/>
      <c r="F361" s="151"/>
      <c r="G361" s="151"/>
      <c r="H361" s="152"/>
      <c r="I361" s="152"/>
      <c r="J361" s="152"/>
      <c r="K361" s="152"/>
      <c r="L361" s="152"/>
      <c r="M361" s="152"/>
      <c r="N361" s="152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</row>
    <row r="362" ht="14.25" customHeight="1">
      <c r="A362" s="147"/>
      <c r="B362" s="148"/>
      <c r="C362" s="149"/>
      <c r="D362" s="150"/>
      <c r="E362" s="150"/>
      <c r="F362" s="151"/>
      <c r="G362" s="151"/>
      <c r="H362" s="152"/>
      <c r="I362" s="152"/>
      <c r="J362" s="152"/>
      <c r="K362" s="152"/>
      <c r="L362" s="152"/>
      <c r="M362" s="152"/>
      <c r="N362" s="152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</row>
    <row r="363" ht="14.25" customHeight="1">
      <c r="A363" s="147"/>
      <c r="B363" s="148"/>
      <c r="C363" s="149"/>
      <c r="D363" s="150"/>
      <c r="E363" s="150"/>
      <c r="F363" s="151"/>
      <c r="G363" s="151"/>
      <c r="H363" s="152"/>
      <c r="I363" s="152"/>
      <c r="J363" s="152"/>
      <c r="K363" s="152"/>
      <c r="L363" s="152"/>
      <c r="M363" s="152"/>
      <c r="N363" s="152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</row>
    <row r="364" ht="14.25" customHeight="1">
      <c r="A364" s="147"/>
      <c r="B364" s="148"/>
      <c r="C364" s="149"/>
      <c r="D364" s="150"/>
      <c r="E364" s="150"/>
      <c r="F364" s="151"/>
      <c r="G364" s="151"/>
      <c r="H364" s="152"/>
      <c r="I364" s="152"/>
      <c r="J364" s="152"/>
      <c r="K364" s="152"/>
      <c r="L364" s="152"/>
      <c r="M364" s="152"/>
      <c r="N364" s="152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</row>
    <row r="365" ht="14.25" customHeight="1">
      <c r="A365" s="147"/>
      <c r="B365" s="148"/>
      <c r="C365" s="149"/>
      <c r="D365" s="150"/>
      <c r="E365" s="150"/>
      <c r="F365" s="151"/>
      <c r="G365" s="151"/>
      <c r="H365" s="152"/>
      <c r="I365" s="152"/>
      <c r="J365" s="152"/>
      <c r="K365" s="152"/>
      <c r="L365" s="152"/>
      <c r="M365" s="152"/>
      <c r="N365" s="152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</row>
    <row r="366" ht="14.25" customHeight="1">
      <c r="A366" s="147"/>
      <c r="B366" s="148"/>
      <c r="C366" s="149"/>
      <c r="D366" s="150"/>
      <c r="E366" s="150"/>
      <c r="F366" s="151"/>
      <c r="G366" s="151"/>
      <c r="H366" s="152"/>
      <c r="I366" s="152"/>
      <c r="J366" s="152"/>
      <c r="K366" s="152"/>
      <c r="L366" s="152"/>
      <c r="M366" s="152"/>
      <c r="N366" s="152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</row>
    <row r="367" ht="14.25" customHeight="1">
      <c r="A367" s="147"/>
      <c r="B367" s="148"/>
      <c r="C367" s="149"/>
      <c r="D367" s="150"/>
      <c r="E367" s="150"/>
      <c r="F367" s="151"/>
      <c r="G367" s="151"/>
      <c r="H367" s="152"/>
      <c r="I367" s="152"/>
      <c r="J367" s="152"/>
      <c r="K367" s="152"/>
      <c r="L367" s="152"/>
      <c r="M367" s="152"/>
      <c r="N367" s="152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</row>
    <row r="368" ht="14.25" customHeight="1">
      <c r="A368" s="147"/>
      <c r="B368" s="148"/>
      <c r="C368" s="149"/>
      <c r="D368" s="150"/>
      <c r="E368" s="150"/>
      <c r="F368" s="151"/>
      <c r="G368" s="151"/>
      <c r="H368" s="152"/>
      <c r="I368" s="152"/>
      <c r="J368" s="152"/>
      <c r="K368" s="152"/>
      <c r="L368" s="152"/>
      <c r="M368" s="152"/>
      <c r="N368" s="152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</row>
    <row r="369" ht="14.25" customHeight="1">
      <c r="A369" s="147"/>
      <c r="B369" s="148"/>
      <c r="C369" s="149"/>
      <c r="D369" s="150"/>
      <c r="E369" s="150"/>
      <c r="F369" s="151"/>
      <c r="G369" s="151"/>
      <c r="H369" s="152"/>
      <c r="I369" s="152"/>
      <c r="J369" s="152"/>
      <c r="K369" s="152"/>
      <c r="L369" s="152"/>
      <c r="M369" s="152"/>
      <c r="N369" s="152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</row>
    <row r="370" ht="14.25" customHeight="1">
      <c r="A370" s="147"/>
      <c r="B370" s="148"/>
      <c r="C370" s="149"/>
      <c r="D370" s="150"/>
      <c r="E370" s="150"/>
      <c r="F370" s="151"/>
      <c r="G370" s="151"/>
      <c r="H370" s="152"/>
      <c r="I370" s="152"/>
      <c r="J370" s="152"/>
      <c r="K370" s="152"/>
      <c r="L370" s="152"/>
      <c r="M370" s="152"/>
      <c r="N370" s="152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</row>
    <row r="371" ht="14.25" customHeight="1">
      <c r="A371" s="147"/>
      <c r="B371" s="148"/>
      <c r="C371" s="149"/>
      <c r="D371" s="150"/>
      <c r="E371" s="150"/>
      <c r="F371" s="151"/>
      <c r="G371" s="151"/>
      <c r="H371" s="152"/>
      <c r="I371" s="152"/>
      <c r="J371" s="152"/>
      <c r="K371" s="152"/>
      <c r="L371" s="152"/>
      <c r="M371" s="152"/>
      <c r="N371" s="152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</row>
    <row r="372" ht="14.25" customHeight="1">
      <c r="A372" s="147"/>
      <c r="B372" s="148"/>
      <c r="C372" s="149"/>
      <c r="D372" s="150"/>
      <c r="E372" s="150"/>
      <c r="F372" s="151"/>
      <c r="G372" s="151"/>
      <c r="H372" s="152"/>
      <c r="I372" s="152"/>
      <c r="J372" s="152"/>
      <c r="K372" s="152"/>
      <c r="L372" s="152"/>
      <c r="M372" s="152"/>
      <c r="N372" s="152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</row>
  </sheetData>
  <autoFilter ref="$A$6:$AE$6">
    <sortState ref="A6:AE6">
      <sortCondition ref="B6"/>
    </sortState>
  </autoFilter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.0"/>
    <col customWidth="1" min="3" max="4" width="8.71"/>
    <col customWidth="1" min="5" max="5" width="41.57"/>
    <col customWidth="1" min="6" max="6" width="13.14"/>
    <col customWidth="1" min="7" max="7" width="14.14"/>
    <col customWidth="1" min="8" max="8" width="15.29"/>
    <col customWidth="1" min="9" max="9" width="13.0"/>
    <col customWidth="1" min="10" max="10" width="12.43"/>
    <col customWidth="1" min="11" max="11" width="14.57"/>
    <col customWidth="1" min="12" max="26" width="8.71"/>
  </cols>
  <sheetData>
    <row r="1" ht="14.25" customHeight="1">
      <c r="A1" s="147"/>
      <c r="B1" s="148"/>
      <c r="C1" s="149"/>
      <c r="D1" s="150"/>
      <c r="E1" s="150"/>
      <c r="F1" s="151"/>
      <c r="G1" s="152"/>
      <c r="H1" s="152"/>
      <c r="I1" s="152"/>
      <c r="J1" s="152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ht="14.25" customHeight="1">
      <c r="A2" s="147"/>
      <c r="B2" s="148"/>
      <c r="C2" s="149"/>
      <c r="D2" s="150"/>
      <c r="E2" s="150"/>
      <c r="F2" s="151"/>
      <c r="G2" s="174" t="s">
        <v>352</v>
      </c>
      <c r="H2" s="152"/>
      <c r="I2" s="152"/>
      <c r="J2" s="152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ht="14.25" customHeight="1">
      <c r="A3" s="175"/>
      <c r="B3" s="153" t="s">
        <v>296</v>
      </c>
      <c r="C3" s="153" t="s">
        <v>330</v>
      </c>
      <c r="D3" s="153" t="s">
        <v>11</v>
      </c>
      <c r="E3" s="153" t="s">
        <v>12</v>
      </c>
      <c r="F3" s="177" t="s">
        <v>353</v>
      </c>
      <c r="G3" s="178" t="s">
        <v>332</v>
      </c>
      <c r="H3" s="177" t="s">
        <v>353</v>
      </c>
      <c r="I3" s="177" t="s">
        <v>353</v>
      </c>
      <c r="J3" s="177" t="s">
        <v>353</v>
      </c>
      <c r="K3" s="177" t="s">
        <v>353</v>
      </c>
      <c r="L3" s="179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ht="14.25" customHeight="1">
      <c r="A4" s="147"/>
      <c r="B4" s="153"/>
      <c r="C4" s="158"/>
      <c r="D4" s="154"/>
      <c r="E4" s="154"/>
      <c r="F4" s="159" t="s">
        <v>337</v>
      </c>
      <c r="G4" s="160" t="s">
        <v>338</v>
      </c>
      <c r="H4" s="161" t="s">
        <v>339</v>
      </c>
      <c r="I4" s="162" t="s">
        <v>340</v>
      </c>
      <c r="J4" s="163" t="s">
        <v>341</v>
      </c>
      <c r="K4" s="160" t="s">
        <v>354</v>
      </c>
      <c r="L4" s="164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ht="24.0" customHeight="1">
      <c r="A5" s="148"/>
      <c r="B5" s="153"/>
      <c r="C5" s="158"/>
      <c r="D5" s="153"/>
      <c r="E5" s="153"/>
      <c r="F5" s="165" t="s">
        <v>343</v>
      </c>
      <c r="G5" s="166" t="s">
        <v>344</v>
      </c>
      <c r="H5" s="166" t="s">
        <v>345</v>
      </c>
      <c r="I5" s="166" t="s">
        <v>346</v>
      </c>
      <c r="J5" s="166" t="s">
        <v>347</v>
      </c>
      <c r="K5" s="166" t="s">
        <v>348</v>
      </c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24.0" customHeight="1">
      <c r="A6" s="148"/>
      <c r="B6" s="153"/>
      <c r="C6" s="158"/>
      <c r="D6" s="153"/>
      <c r="E6" s="153"/>
      <c r="F6" s="165"/>
      <c r="G6" s="166"/>
      <c r="H6" s="166"/>
      <c r="I6" s="166"/>
      <c r="J6" s="166"/>
      <c r="K6" s="166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14.25" customHeight="1">
      <c r="A7" s="36"/>
      <c r="B7" s="67">
        <v>1.0</v>
      </c>
      <c r="C7" s="167">
        <v>2022.0</v>
      </c>
      <c r="D7" s="168" t="s">
        <v>15</v>
      </c>
      <c r="E7" s="169" t="s">
        <v>16</v>
      </c>
      <c r="F7" s="170">
        <v>0.7968471641377171</v>
      </c>
      <c r="G7" s="171">
        <v>3.0</v>
      </c>
      <c r="H7" s="170">
        <v>0.5</v>
      </c>
      <c r="I7" s="170">
        <v>0.0</v>
      </c>
      <c r="J7" s="170">
        <v>0.0</v>
      </c>
      <c r="K7" s="170">
        <v>0.26228131491393386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4.25" customHeight="1">
      <c r="A8" s="36"/>
      <c r="B8" s="67">
        <v>2.0</v>
      </c>
      <c r="C8" s="167"/>
      <c r="D8" s="168" t="s">
        <v>98</v>
      </c>
      <c r="E8" s="169" t="s">
        <v>99</v>
      </c>
      <c r="F8" s="170">
        <v>0.9152392638848016</v>
      </c>
      <c r="G8" s="171">
        <v>3.0</v>
      </c>
      <c r="H8" s="170">
        <v>0.3333333333333333</v>
      </c>
      <c r="I8" s="180">
        <v>0.0</v>
      </c>
      <c r="J8" s="170">
        <v>6.780847090541939E-6</v>
      </c>
      <c r="K8" s="170">
        <v>0.21394419221723512</v>
      </c>
      <c r="L8" s="55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4.25" customHeight="1">
      <c r="A9" s="36"/>
      <c r="B9" s="67">
        <v>3.0</v>
      </c>
      <c r="C9" s="167"/>
      <c r="D9" s="168" t="s">
        <v>78</v>
      </c>
      <c r="E9" s="169" t="s">
        <v>79</v>
      </c>
      <c r="F9" s="170">
        <v>0.5318543306204202</v>
      </c>
      <c r="G9" s="171">
        <v>3.0</v>
      </c>
      <c r="H9" s="170">
        <v>0.6</v>
      </c>
      <c r="I9" s="170">
        <v>0.0</v>
      </c>
      <c r="J9" s="170">
        <v>0.015684491645567417</v>
      </c>
      <c r="K9" s="170">
        <v>0.1848469309510599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4.25" customHeight="1">
      <c r="A10" s="36"/>
      <c r="B10" s="67">
        <v>4.0</v>
      </c>
      <c r="C10" s="167"/>
      <c r="D10" s="168" t="s">
        <v>104</v>
      </c>
      <c r="E10" s="169" t="s">
        <v>105</v>
      </c>
      <c r="F10" s="170">
        <v>0.8169222011373884</v>
      </c>
      <c r="G10" s="171">
        <v>3.0</v>
      </c>
      <c r="H10" s="170">
        <v>0.375</v>
      </c>
      <c r="I10" s="170">
        <v>0.2</v>
      </c>
      <c r="J10" s="170">
        <v>0.09894075438923439</v>
      </c>
      <c r="K10" s="181">
        <v>0.3869420462514994</v>
      </c>
      <c r="L10" s="55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4.25" customHeight="1">
      <c r="A11" s="36"/>
      <c r="B11" s="67">
        <v>5.0</v>
      </c>
      <c r="C11" s="167"/>
      <c r="D11" s="168" t="s">
        <v>18</v>
      </c>
      <c r="E11" s="169" t="s">
        <v>19</v>
      </c>
      <c r="F11" s="170">
        <v>0.5414375</v>
      </c>
      <c r="G11" s="171">
        <v>3.0</v>
      </c>
      <c r="H11" s="170">
        <v>0.3333333333333333</v>
      </c>
      <c r="I11" s="170">
        <v>0.0</v>
      </c>
      <c r="J11" s="170">
        <v>9.163E-4</v>
      </c>
      <c r="K11" s="170">
        <v>0.19481752543687408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4.25" customHeight="1">
      <c r="A12" s="36"/>
      <c r="B12" s="67">
        <v>6.0</v>
      </c>
      <c r="C12" s="167"/>
      <c r="D12" s="168" t="s">
        <v>108</v>
      </c>
      <c r="E12" s="169" t="s">
        <v>109</v>
      </c>
      <c r="F12" s="180">
        <v>0.0019055734919286322</v>
      </c>
      <c r="G12" s="171">
        <v>3.0</v>
      </c>
      <c r="H12" s="170">
        <v>0.5</v>
      </c>
      <c r="I12" s="170">
        <v>0.0</v>
      </c>
      <c r="J12" s="170">
        <v>0.008623619371282922</v>
      </c>
      <c r="K12" s="170">
        <v>0.21217634719685716</v>
      </c>
      <c r="L12" s="55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4.25" customHeight="1">
      <c r="A13" s="36"/>
      <c r="B13" s="67">
        <v>7.0</v>
      </c>
      <c r="C13" s="167"/>
      <c r="D13" s="168" t="s">
        <v>222</v>
      </c>
      <c r="E13" s="169" t="s">
        <v>223</v>
      </c>
      <c r="F13" s="170">
        <v>0.8702033613445378</v>
      </c>
      <c r="G13" s="171">
        <v>3.0</v>
      </c>
      <c r="H13" s="170">
        <v>0.3333333333333333</v>
      </c>
      <c r="I13" s="170">
        <v>0.3333333333333333</v>
      </c>
      <c r="J13" s="180">
        <v>0.0</v>
      </c>
      <c r="K13" s="170">
        <v>0.22053597059476188</v>
      </c>
      <c r="L13" s="55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4.25" customHeight="1">
      <c r="A14" s="36"/>
      <c r="B14" s="67">
        <v>8.0</v>
      </c>
      <c r="C14" s="167"/>
      <c r="D14" s="168" t="s">
        <v>74</v>
      </c>
      <c r="E14" s="169" t="s">
        <v>75</v>
      </c>
      <c r="F14" s="170">
        <v>0.7688</v>
      </c>
      <c r="G14" s="171">
        <v>3.0</v>
      </c>
      <c r="H14" s="170">
        <v>0.3333333333333333</v>
      </c>
      <c r="I14" s="170">
        <v>0.3333333333333333</v>
      </c>
      <c r="J14" s="170">
        <v>0.00878442382331567</v>
      </c>
      <c r="K14" s="170">
        <v>0.2140321000609366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4.25" customHeight="1">
      <c r="A15" s="36"/>
      <c r="B15" s="67">
        <v>9.0</v>
      </c>
      <c r="C15" s="167"/>
      <c r="D15" s="168" t="s">
        <v>28</v>
      </c>
      <c r="E15" s="169" t="s">
        <v>29</v>
      </c>
      <c r="F15" s="182">
        <v>0.1893169456171091</v>
      </c>
      <c r="G15" s="171">
        <v>3.0</v>
      </c>
      <c r="H15" s="170">
        <v>0.3333333333333333</v>
      </c>
      <c r="I15" s="170">
        <v>0.0</v>
      </c>
      <c r="J15" s="181">
        <v>0.7650503492073975</v>
      </c>
      <c r="K15" s="170">
        <v>0.21011834275457844</v>
      </c>
      <c r="L15" s="55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4.25" customHeight="1">
      <c r="A16" s="36"/>
      <c r="B16" s="67">
        <v>10.0</v>
      </c>
      <c r="C16" s="167"/>
      <c r="D16" s="168" t="s">
        <v>24</v>
      </c>
      <c r="E16" s="169" t="s">
        <v>25</v>
      </c>
      <c r="F16" s="181">
        <v>0.9928911022075863</v>
      </c>
      <c r="G16" s="171">
        <v>3.0</v>
      </c>
      <c r="H16" s="180">
        <v>0.3333333333333333</v>
      </c>
      <c r="I16" s="170">
        <v>0.16666666666666666</v>
      </c>
      <c r="J16" s="180">
        <v>0.0</v>
      </c>
      <c r="K16" s="180">
        <v>0.1714180790960452</v>
      </c>
      <c r="L16" s="55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4.25" customHeight="1">
      <c r="A17" s="36"/>
      <c r="B17" s="67">
        <v>11.0</v>
      </c>
      <c r="C17" s="167"/>
      <c r="D17" s="168" t="s">
        <v>110</v>
      </c>
      <c r="E17" s="169" t="s">
        <v>111</v>
      </c>
      <c r="F17" s="170">
        <v>0.8056326628833994</v>
      </c>
      <c r="G17" s="171">
        <v>3.0</v>
      </c>
      <c r="H17" s="170">
        <v>0.3333333333333333</v>
      </c>
      <c r="I17" s="170">
        <v>0.0</v>
      </c>
      <c r="J17" s="170">
        <v>1.9052788337479195E-4</v>
      </c>
      <c r="K17" s="170">
        <v>0.21545106874857084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4.25" customHeight="1">
      <c r="A18" s="36"/>
      <c r="B18" s="67">
        <v>12.0</v>
      </c>
      <c r="C18" s="167"/>
      <c r="D18" s="168" t="s">
        <v>26</v>
      </c>
      <c r="E18" s="169" t="s">
        <v>27</v>
      </c>
      <c r="F18" s="170">
        <v>0.9118223912195121</v>
      </c>
      <c r="G18" s="171">
        <v>3.0</v>
      </c>
      <c r="H18" s="170">
        <v>0.3333333333333333</v>
      </c>
      <c r="I18" s="180">
        <v>0.0</v>
      </c>
      <c r="J18" s="180">
        <v>0.0</v>
      </c>
      <c r="K18" s="170">
        <v>0.23545600797937674</v>
      </c>
      <c r="L18" s="55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4.25" customHeight="1">
      <c r="A19" s="36"/>
      <c r="B19" s="67">
        <v>13.0</v>
      </c>
      <c r="C19" s="167"/>
      <c r="D19" s="168" t="s">
        <v>30</v>
      </c>
      <c r="E19" s="169" t="s">
        <v>31</v>
      </c>
      <c r="F19" s="170">
        <v>0.6694558064384584</v>
      </c>
      <c r="G19" s="171">
        <v>3.0</v>
      </c>
      <c r="H19" s="170">
        <v>0.4</v>
      </c>
      <c r="I19" s="170">
        <v>0.0</v>
      </c>
      <c r="J19" s="170">
        <v>0.0</v>
      </c>
      <c r="K19" s="170">
        <v>0.21802620943031287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4.25" customHeight="1">
      <c r="A20" s="36"/>
      <c r="B20" s="67">
        <v>14.0</v>
      </c>
      <c r="C20" s="167"/>
      <c r="D20" s="168" t="s">
        <v>120</v>
      </c>
      <c r="E20" s="169" t="s">
        <v>121</v>
      </c>
      <c r="F20" s="170">
        <v>0.2061426656931787</v>
      </c>
      <c r="G20" s="171">
        <v>3.0</v>
      </c>
      <c r="H20" s="170">
        <v>0.6</v>
      </c>
      <c r="I20" s="170">
        <v>0.0</v>
      </c>
      <c r="J20" s="170">
        <v>0.39634833089873334</v>
      </c>
      <c r="K20" s="170">
        <v>0.2339130870633051</v>
      </c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4.25" customHeight="1">
      <c r="A21" s="36"/>
      <c r="B21" s="67">
        <v>15.0</v>
      </c>
      <c r="C21" s="167"/>
      <c r="D21" s="168" t="s">
        <v>118</v>
      </c>
      <c r="E21" s="169" t="s">
        <v>119</v>
      </c>
      <c r="F21" s="170">
        <v>0.6929469874438349</v>
      </c>
      <c r="G21" s="171">
        <v>3.0</v>
      </c>
      <c r="H21" s="170">
        <v>0.4</v>
      </c>
      <c r="I21" s="170">
        <v>0.25</v>
      </c>
      <c r="J21" s="170">
        <v>0.0</v>
      </c>
      <c r="K21" s="180">
        <v>0.17006748067342814</v>
      </c>
      <c r="L21" s="55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4.25" customHeight="1">
      <c r="A22" s="36"/>
      <c r="B22" s="67">
        <v>16.0</v>
      </c>
      <c r="C22" s="167"/>
      <c r="D22" s="168" t="s">
        <v>32</v>
      </c>
      <c r="E22" s="169" t="s">
        <v>33</v>
      </c>
      <c r="F22" s="170">
        <v>0.755938630747944</v>
      </c>
      <c r="G22" s="171">
        <v>3.0</v>
      </c>
      <c r="H22" s="170">
        <v>0.3333333333333333</v>
      </c>
      <c r="I22" s="170">
        <v>0.3333333333333333</v>
      </c>
      <c r="J22" s="170">
        <v>0.09176716627409479</v>
      </c>
      <c r="K22" s="170">
        <v>0.25067319659079335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>
      <c r="A23" s="36"/>
      <c r="B23" s="67">
        <v>17.0</v>
      </c>
      <c r="C23" s="167"/>
      <c r="D23" s="168" t="s">
        <v>126</v>
      </c>
      <c r="E23" s="169" t="s">
        <v>127</v>
      </c>
      <c r="F23" s="170">
        <v>0.9793414809646169</v>
      </c>
      <c r="G23" s="171">
        <v>3.0</v>
      </c>
      <c r="H23" s="170">
        <v>0.3333333333333333</v>
      </c>
      <c r="I23" s="180">
        <v>0.0</v>
      </c>
      <c r="J23" s="170">
        <v>0.0017122496898812688</v>
      </c>
      <c r="K23" s="170">
        <v>0.23158417918342408</v>
      </c>
      <c r="L23" s="55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4.25" customHeight="1">
      <c r="A24" s="36"/>
      <c r="B24" s="67">
        <v>18.0</v>
      </c>
      <c r="C24" s="167"/>
      <c r="D24" s="168" t="s">
        <v>134</v>
      </c>
      <c r="E24" s="169" t="s">
        <v>135</v>
      </c>
      <c r="F24" s="170">
        <v>0.8499999917341978</v>
      </c>
      <c r="G24" s="171">
        <v>3.0</v>
      </c>
      <c r="H24" s="170">
        <v>0.5</v>
      </c>
      <c r="I24" s="170">
        <v>0.0</v>
      </c>
      <c r="J24" s="170">
        <v>0.0</v>
      </c>
      <c r="K24" s="170">
        <v>0.24593617054524639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4.25" customHeight="1">
      <c r="A25" s="36"/>
      <c r="B25" s="67">
        <v>19.0</v>
      </c>
      <c r="C25" s="167"/>
      <c r="D25" s="168" t="s">
        <v>234</v>
      </c>
      <c r="E25" s="169" t="s">
        <v>235</v>
      </c>
      <c r="F25" s="170">
        <v>0.8947627083333334</v>
      </c>
      <c r="G25" s="171">
        <v>3.0</v>
      </c>
      <c r="H25" s="170">
        <v>0.5</v>
      </c>
      <c r="I25" s="170">
        <v>0.2</v>
      </c>
      <c r="J25" s="170">
        <v>0.0</v>
      </c>
      <c r="K25" s="170">
        <v>0.22200838925474645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4.25" customHeight="1">
      <c r="A26" s="36"/>
      <c r="B26" s="67">
        <v>20.0</v>
      </c>
      <c r="C26" s="167"/>
      <c r="D26" s="168" t="s">
        <v>40</v>
      </c>
      <c r="E26" s="169" t="s">
        <v>41</v>
      </c>
      <c r="F26" s="170">
        <v>0.91</v>
      </c>
      <c r="G26" s="171">
        <v>3.0</v>
      </c>
      <c r="H26" s="170">
        <v>0.5</v>
      </c>
      <c r="I26" s="170">
        <v>0.0</v>
      </c>
      <c r="J26" s="170">
        <v>0.006728865831500431</v>
      </c>
      <c r="K26" s="170">
        <v>0.2377002627984317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4.25" customHeight="1">
      <c r="A27" s="36"/>
      <c r="B27" s="67">
        <v>21.0</v>
      </c>
      <c r="C27" s="167"/>
      <c r="D27" s="168" t="s">
        <v>38</v>
      </c>
      <c r="E27" s="169" t="s">
        <v>39</v>
      </c>
      <c r="F27" s="170">
        <v>0.517231315398124</v>
      </c>
      <c r="G27" s="171">
        <v>3.0</v>
      </c>
      <c r="H27" s="170">
        <v>0.3333333333333333</v>
      </c>
      <c r="I27" s="170">
        <v>0.0</v>
      </c>
      <c r="J27" s="170">
        <v>0.09230400146614517</v>
      </c>
      <c r="K27" s="170">
        <v>0.22623225468889455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4.25" customHeight="1">
      <c r="A28" s="36"/>
      <c r="B28" s="67">
        <v>22.0</v>
      </c>
      <c r="C28" s="167"/>
      <c r="D28" s="168" t="s">
        <v>140</v>
      </c>
      <c r="E28" s="169" t="s">
        <v>141</v>
      </c>
      <c r="F28" s="170">
        <v>0.72746025</v>
      </c>
      <c r="G28" s="171">
        <v>3.0</v>
      </c>
      <c r="H28" s="170">
        <v>0.3333333333333333</v>
      </c>
      <c r="I28" s="170">
        <v>0.0</v>
      </c>
      <c r="J28" s="170">
        <v>0.26691018333333333</v>
      </c>
      <c r="K28" s="170">
        <v>0.18699936733971712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4.25" customHeight="1">
      <c r="A29" s="36"/>
      <c r="B29" s="67">
        <v>23.0</v>
      </c>
      <c r="C29" s="167"/>
      <c r="D29" s="168" t="s">
        <v>42</v>
      </c>
      <c r="E29" s="169" t="s">
        <v>43</v>
      </c>
      <c r="F29" s="170">
        <v>0.9536358438797401</v>
      </c>
      <c r="G29" s="171">
        <v>3.0</v>
      </c>
      <c r="H29" s="170">
        <v>0.5</v>
      </c>
      <c r="I29" s="182">
        <v>0.42857142857142855</v>
      </c>
      <c r="J29" s="170">
        <v>0.0</v>
      </c>
      <c r="K29" s="170">
        <v>0.23562203533179202</v>
      </c>
      <c r="L29" s="55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4.25" customHeight="1">
      <c r="A30" s="36"/>
      <c r="B30" s="67">
        <v>24.0</v>
      </c>
      <c r="C30" s="167"/>
      <c r="D30" s="168" t="s">
        <v>44</v>
      </c>
      <c r="E30" s="169" t="s">
        <v>45</v>
      </c>
      <c r="F30" s="170">
        <v>0.8053294538080733</v>
      </c>
      <c r="G30" s="171">
        <v>3.0</v>
      </c>
      <c r="H30" s="170">
        <v>0.5</v>
      </c>
      <c r="I30" s="170">
        <v>0.0625</v>
      </c>
      <c r="J30" s="170">
        <v>0.0</v>
      </c>
      <c r="K30" s="170">
        <v>0.2396144516194188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4.25" customHeight="1">
      <c r="A31" s="36"/>
      <c r="B31" s="67">
        <v>25.0</v>
      </c>
      <c r="C31" s="167"/>
      <c r="D31" s="168" t="s">
        <v>46</v>
      </c>
      <c r="E31" s="169" t="s">
        <v>47</v>
      </c>
      <c r="F31" s="170">
        <v>0.9658999999601386</v>
      </c>
      <c r="G31" s="171">
        <v>3.0</v>
      </c>
      <c r="H31" s="170">
        <v>0.375</v>
      </c>
      <c r="I31" s="170">
        <v>0.10526315789473684</v>
      </c>
      <c r="J31" s="170">
        <v>1.571700417969446E-4</v>
      </c>
      <c r="K31" s="170">
        <v>0.25377511463202684</v>
      </c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4.25" customHeight="1">
      <c r="A32" s="36"/>
      <c r="B32" s="67">
        <v>26.0</v>
      </c>
      <c r="C32" s="167"/>
      <c r="D32" s="168" t="s">
        <v>150</v>
      </c>
      <c r="E32" s="169" t="s">
        <v>151</v>
      </c>
      <c r="F32" s="180">
        <v>0.07015902712815715</v>
      </c>
      <c r="G32" s="171">
        <v>3.0</v>
      </c>
      <c r="H32" s="170">
        <v>0.5</v>
      </c>
      <c r="I32" s="170">
        <v>0.25</v>
      </c>
      <c r="J32" s="181">
        <v>0.638510927799983</v>
      </c>
      <c r="K32" s="170">
        <v>0.25797866165747757</v>
      </c>
      <c r="L32" s="55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4.25" customHeight="1">
      <c r="A33" s="36"/>
      <c r="B33" s="67">
        <v>27.0</v>
      </c>
      <c r="C33" s="167"/>
      <c r="D33" s="168" t="s">
        <v>48</v>
      </c>
      <c r="E33" s="169" t="s">
        <v>49</v>
      </c>
      <c r="F33" s="170">
        <v>0.8993096658008631</v>
      </c>
      <c r="G33" s="171">
        <v>3.0</v>
      </c>
      <c r="H33" s="170">
        <v>0.5</v>
      </c>
      <c r="I33" s="170">
        <v>0.0</v>
      </c>
      <c r="J33" s="170">
        <v>2.5453296881987054E-4</v>
      </c>
      <c r="K33" s="170">
        <v>0.2371916712415114</v>
      </c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4.25" customHeight="1">
      <c r="A34" s="36"/>
      <c r="B34" s="67">
        <v>28.0</v>
      </c>
      <c r="C34" s="167"/>
      <c r="D34" s="168" t="s">
        <v>178</v>
      </c>
      <c r="E34" s="169" t="s">
        <v>179</v>
      </c>
      <c r="F34" s="170">
        <v>0.9060844</v>
      </c>
      <c r="G34" s="171">
        <v>3.0</v>
      </c>
      <c r="H34" s="170">
        <v>0.3333333333333333</v>
      </c>
      <c r="I34" s="180">
        <v>0.0</v>
      </c>
      <c r="J34" s="180">
        <v>0.0</v>
      </c>
      <c r="K34" s="170">
        <v>0.21955702448995265</v>
      </c>
      <c r="L34" s="55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4.25" customHeight="1">
      <c r="A35" s="36"/>
      <c r="B35" s="67">
        <v>29.0</v>
      </c>
      <c r="C35" s="167"/>
      <c r="D35" s="168" t="s">
        <v>162</v>
      </c>
      <c r="E35" s="169" t="s">
        <v>163</v>
      </c>
      <c r="F35" s="170">
        <v>0.76190476375</v>
      </c>
      <c r="G35" s="171">
        <v>3.0</v>
      </c>
      <c r="H35" s="170">
        <v>0.5</v>
      </c>
      <c r="I35" s="170">
        <v>0.25</v>
      </c>
      <c r="J35" s="170">
        <v>0.02803175875</v>
      </c>
      <c r="K35" s="170">
        <v>0.21631048672841346</v>
      </c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4.25" customHeight="1">
      <c r="A36" s="36"/>
      <c r="B36" s="67">
        <v>30.0</v>
      </c>
      <c r="C36" s="167"/>
      <c r="D36" s="168" t="s">
        <v>68</v>
      </c>
      <c r="E36" s="169" t="s">
        <v>69</v>
      </c>
      <c r="F36" s="170">
        <v>0.5961901457055573</v>
      </c>
      <c r="G36" s="171">
        <v>3.0</v>
      </c>
      <c r="H36" s="170">
        <v>0.4</v>
      </c>
      <c r="I36" s="170">
        <v>0.1111111111111111</v>
      </c>
      <c r="J36" s="170">
        <v>3.108520823394116E-5</v>
      </c>
      <c r="K36" s="170">
        <v>0.193404881089188</v>
      </c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4.25" customHeight="1">
      <c r="A37" s="36"/>
      <c r="B37" s="67">
        <v>31.0</v>
      </c>
      <c r="C37" s="167"/>
      <c r="D37" s="168" t="s">
        <v>52</v>
      </c>
      <c r="E37" s="169" t="s">
        <v>53</v>
      </c>
      <c r="F37" s="170">
        <v>0.572704921049693</v>
      </c>
      <c r="G37" s="171">
        <v>3.0</v>
      </c>
      <c r="H37" s="170">
        <v>0.6</v>
      </c>
      <c r="I37" s="170">
        <v>0.0</v>
      </c>
      <c r="J37" s="170">
        <v>0.003300993858179788</v>
      </c>
      <c r="K37" s="180">
        <v>0.1763020915313837</v>
      </c>
      <c r="L37" s="55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4.25" customHeight="1">
      <c r="A38" s="36"/>
      <c r="B38" s="67">
        <v>32.0</v>
      </c>
      <c r="C38" s="167"/>
      <c r="D38" s="168" t="s">
        <v>58</v>
      </c>
      <c r="E38" s="169" t="s">
        <v>59</v>
      </c>
      <c r="F38" s="170">
        <v>0.9585427253358627</v>
      </c>
      <c r="G38" s="171">
        <v>3.0</v>
      </c>
      <c r="H38" s="170">
        <v>0.5</v>
      </c>
      <c r="I38" s="170">
        <v>0.2</v>
      </c>
      <c r="J38" s="170">
        <v>0.0065051019080591445</v>
      </c>
      <c r="K38" s="170">
        <v>0.19372915492474058</v>
      </c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4.25" customHeight="1">
      <c r="A39" s="36"/>
      <c r="B39" s="67">
        <v>33.0</v>
      </c>
      <c r="C39" s="167"/>
      <c r="D39" s="168" t="s">
        <v>60</v>
      </c>
      <c r="E39" s="169" t="s">
        <v>61</v>
      </c>
      <c r="F39" s="170">
        <v>0.8931898433792121</v>
      </c>
      <c r="G39" s="171">
        <v>3.0</v>
      </c>
      <c r="H39" s="170">
        <v>0.5</v>
      </c>
      <c r="I39" s="181">
        <v>0.5</v>
      </c>
      <c r="J39" s="170">
        <v>0.0</v>
      </c>
      <c r="K39" s="170">
        <v>0.2579898546876141</v>
      </c>
      <c r="L39" s="55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4.25" customHeight="1">
      <c r="A40" s="36"/>
      <c r="B40" s="67">
        <v>34.0</v>
      </c>
      <c r="C40" s="167"/>
      <c r="D40" s="168" t="s">
        <v>62</v>
      </c>
      <c r="E40" s="169" t="s">
        <v>63</v>
      </c>
      <c r="F40" s="170">
        <v>0.5856202741604056</v>
      </c>
      <c r="G40" s="171">
        <v>3.0</v>
      </c>
      <c r="H40" s="170">
        <v>0.4</v>
      </c>
      <c r="I40" s="170">
        <v>0.0</v>
      </c>
      <c r="J40" s="170">
        <v>4.667855807654317E-6</v>
      </c>
      <c r="K40" s="183">
        <v>1.6669652415179255</v>
      </c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4.25" customHeight="1">
      <c r="A41" s="36"/>
      <c r="B41" s="67">
        <v>35.0</v>
      </c>
      <c r="C41" s="167"/>
      <c r="D41" s="168" t="s">
        <v>54</v>
      </c>
      <c r="E41" s="169" t="s">
        <v>55</v>
      </c>
      <c r="F41" s="170">
        <v>0.5907083858831151</v>
      </c>
      <c r="G41" s="171">
        <v>3.0</v>
      </c>
      <c r="H41" s="170">
        <v>0.4</v>
      </c>
      <c r="I41" s="170">
        <v>0.0</v>
      </c>
      <c r="J41" s="170">
        <v>0.2525240988717648</v>
      </c>
      <c r="K41" s="170">
        <v>0.2138789616556263</v>
      </c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4.25" customHeight="1">
      <c r="A42" s="36"/>
      <c r="B42" s="67">
        <v>36.0</v>
      </c>
      <c r="C42" s="167"/>
      <c r="D42" s="168" t="s">
        <v>190</v>
      </c>
      <c r="E42" s="169" t="s">
        <v>191</v>
      </c>
      <c r="F42" s="181">
        <v>0.9989610043550116</v>
      </c>
      <c r="G42" s="171">
        <v>3.0</v>
      </c>
      <c r="H42" s="170">
        <v>0.5</v>
      </c>
      <c r="I42" s="170">
        <v>0.0</v>
      </c>
      <c r="J42" s="170">
        <v>0.0</v>
      </c>
      <c r="K42" s="180">
        <v>0.11451296496314255</v>
      </c>
      <c r="L42" s="55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4.25" customHeight="1">
      <c r="A43" s="36"/>
      <c r="B43" s="67">
        <v>37.0</v>
      </c>
      <c r="C43" s="167"/>
      <c r="D43" s="168" t="s">
        <v>64</v>
      </c>
      <c r="E43" s="169" t="s">
        <v>65</v>
      </c>
      <c r="F43" s="170">
        <v>0.8827834801061007</v>
      </c>
      <c r="G43" s="171">
        <v>3.0</v>
      </c>
      <c r="H43" s="170">
        <v>0.5</v>
      </c>
      <c r="I43" s="181">
        <v>0.42857142857142855</v>
      </c>
      <c r="J43" s="170">
        <v>0.08488063660477453</v>
      </c>
      <c r="K43" s="170">
        <v>0.19103751017904452</v>
      </c>
      <c r="L43" s="55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4.25" customHeight="1">
      <c r="A44" s="36"/>
      <c r="B44" s="67">
        <v>38.0</v>
      </c>
      <c r="C44" s="167"/>
      <c r="D44" s="168" t="s">
        <v>184</v>
      </c>
      <c r="E44" s="169" t="s">
        <v>185</v>
      </c>
      <c r="F44" s="181">
        <v>0.9948106385413101</v>
      </c>
      <c r="G44" s="171">
        <v>3.0</v>
      </c>
      <c r="H44" s="180">
        <v>0.3333333333333333</v>
      </c>
      <c r="I44" s="181">
        <v>0.6</v>
      </c>
      <c r="J44" s="180">
        <v>0.0</v>
      </c>
      <c r="K44" s="170">
        <v>0.24535481401163833</v>
      </c>
      <c r="L44" s="55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4.25" customHeight="1">
      <c r="A45" s="36"/>
      <c r="B45" s="67">
        <v>39.0</v>
      </c>
      <c r="C45" s="167"/>
      <c r="D45" s="168" t="s">
        <v>176</v>
      </c>
      <c r="E45" s="169" t="s">
        <v>177</v>
      </c>
      <c r="F45" s="170">
        <v>0.9254217103610675</v>
      </c>
      <c r="G45" s="171">
        <v>2.0</v>
      </c>
      <c r="H45" s="182">
        <v>0.8</v>
      </c>
      <c r="I45" s="170">
        <v>0.0</v>
      </c>
      <c r="J45" s="170">
        <v>0.0</v>
      </c>
      <c r="K45" s="170">
        <v>0.3290926719581874</v>
      </c>
      <c r="L45" s="55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4.25" customHeight="1">
      <c r="A46" s="36"/>
      <c r="B46" s="67">
        <v>40.0</v>
      </c>
      <c r="C46" s="167"/>
      <c r="D46" s="168" t="s">
        <v>72</v>
      </c>
      <c r="E46" s="169" t="s">
        <v>73</v>
      </c>
      <c r="F46" s="170">
        <v>0.935616637212131</v>
      </c>
      <c r="G46" s="171">
        <v>3.0</v>
      </c>
      <c r="H46" s="170">
        <v>0.6666666666666666</v>
      </c>
      <c r="I46" s="170">
        <v>0.0</v>
      </c>
      <c r="J46" s="170">
        <v>0.0</v>
      </c>
      <c r="K46" s="170">
        <v>0.2596765474463316</v>
      </c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4.25" customHeight="1">
      <c r="A47" s="36"/>
      <c r="B47" s="67">
        <v>41.0</v>
      </c>
      <c r="C47" s="167"/>
      <c r="D47" s="168" t="s">
        <v>70</v>
      </c>
      <c r="E47" s="169" t="s">
        <v>71</v>
      </c>
      <c r="F47" s="170">
        <v>0.8758</v>
      </c>
      <c r="G47" s="171">
        <v>3.0</v>
      </c>
      <c r="H47" s="170">
        <v>0.3333333333333333</v>
      </c>
      <c r="I47" s="170">
        <v>0.1111111111111111</v>
      </c>
      <c r="J47" s="170">
        <v>5.93498226924047E-5</v>
      </c>
      <c r="K47" s="181">
        <v>0.3702070016262089</v>
      </c>
      <c r="L47" s="55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4.25" customHeight="1">
      <c r="A48" s="36"/>
      <c r="B48" s="67">
        <v>42.0</v>
      </c>
      <c r="C48" s="167"/>
      <c r="D48" s="168" t="s">
        <v>202</v>
      </c>
      <c r="E48" s="169" t="s">
        <v>203</v>
      </c>
      <c r="F48" s="170">
        <v>0.9776838045546772</v>
      </c>
      <c r="G48" s="171">
        <v>3.0</v>
      </c>
      <c r="H48" s="170">
        <v>0.3333333333333333</v>
      </c>
      <c r="I48" s="170">
        <v>0.2</v>
      </c>
      <c r="J48" s="170">
        <v>0.005296151014744322</v>
      </c>
      <c r="K48" s="170">
        <v>0.19011599043311347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4.25" customHeight="1">
      <c r="A49" s="36"/>
      <c r="B49" s="67">
        <v>43.0</v>
      </c>
      <c r="C49" s="167"/>
      <c r="D49" s="168" t="s">
        <v>206</v>
      </c>
      <c r="E49" s="169" t="s">
        <v>207</v>
      </c>
      <c r="F49" s="170">
        <v>0.9239968319737425</v>
      </c>
      <c r="G49" s="171">
        <v>3.0</v>
      </c>
      <c r="H49" s="170">
        <v>0.42857142857142855</v>
      </c>
      <c r="I49" s="170">
        <v>0.0</v>
      </c>
      <c r="J49" s="170">
        <v>0.0</v>
      </c>
      <c r="K49" s="170">
        <v>0.19115788180701915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4.25" customHeight="1">
      <c r="A50" s="36"/>
      <c r="B50" s="67">
        <v>44.0</v>
      </c>
      <c r="C50" s="167"/>
      <c r="D50" s="168" t="s">
        <v>76</v>
      </c>
      <c r="E50" s="169" t="s">
        <v>77</v>
      </c>
      <c r="F50" s="170">
        <v>0.6415766729658793</v>
      </c>
      <c r="G50" s="171">
        <v>3.0</v>
      </c>
      <c r="H50" s="170">
        <v>0.3333333333333333</v>
      </c>
      <c r="I50" s="170">
        <v>0.0</v>
      </c>
      <c r="J50" s="170">
        <v>6.299212598425197E-6</v>
      </c>
      <c r="K50" s="170">
        <v>0.18784217842114118</v>
      </c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4.25" customHeight="1">
      <c r="A51" s="36"/>
      <c r="B51" s="67">
        <v>45.0</v>
      </c>
      <c r="C51" s="167"/>
      <c r="D51" s="168" t="s">
        <v>204</v>
      </c>
      <c r="E51" s="169" t="s">
        <v>205</v>
      </c>
      <c r="F51" s="170">
        <v>0.6353971755725191</v>
      </c>
      <c r="G51" s="171">
        <v>3.0</v>
      </c>
      <c r="H51" s="170">
        <v>0.5</v>
      </c>
      <c r="I51" s="170">
        <v>0.0</v>
      </c>
      <c r="J51" s="170">
        <v>0.0</v>
      </c>
      <c r="K51" s="180">
        <v>0.17469988869026637</v>
      </c>
      <c r="L51" s="55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4.25" customHeight="1">
      <c r="A52" s="36"/>
      <c r="B52" s="67">
        <v>46.0</v>
      </c>
      <c r="C52" s="167"/>
      <c r="D52" s="168" t="s">
        <v>82</v>
      </c>
      <c r="E52" s="169" t="s">
        <v>83</v>
      </c>
      <c r="F52" s="170">
        <v>0.8657078691190145</v>
      </c>
      <c r="G52" s="171">
        <v>3.0</v>
      </c>
      <c r="H52" s="170">
        <v>0.375</v>
      </c>
      <c r="I52" s="170">
        <v>0.2</v>
      </c>
      <c r="J52" s="170">
        <v>0.0058982175580555435</v>
      </c>
      <c r="K52" s="180">
        <v>0.16277860103364314</v>
      </c>
      <c r="L52" s="55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4.25" customHeight="1">
      <c r="A53" s="36"/>
      <c r="B53" s="67">
        <v>47.0</v>
      </c>
      <c r="C53" s="167"/>
      <c r="D53" s="168" t="s">
        <v>84</v>
      </c>
      <c r="E53" s="169" t="s">
        <v>85</v>
      </c>
      <c r="F53" s="170">
        <v>0.5522764714186063</v>
      </c>
      <c r="G53" s="171">
        <v>3.0</v>
      </c>
      <c r="H53" s="170">
        <v>0.3333333333333333</v>
      </c>
      <c r="I53" s="170">
        <v>0.14285714285714285</v>
      </c>
      <c r="J53" s="170">
        <v>0.0</v>
      </c>
      <c r="K53" s="170">
        <v>0.21451939493373634</v>
      </c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4.25" customHeight="1">
      <c r="A54" s="36"/>
      <c r="B54" s="67">
        <v>48.0</v>
      </c>
      <c r="C54" s="167"/>
      <c r="D54" s="168" t="s">
        <v>212</v>
      </c>
      <c r="E54" s="169" t="s">
        <v>213</v>
      </c>
      <c r="F54" s="182">
        <v>0.9767281841015664</v>
      </c>
      <c r="G54" s="171">
        <v>3.0</v>
      </c>
      <c r="H54" s="170">
        <v>0.4</v>
      </c>
      <c r="I54" s="170">
        <v>0.3333333333333333</v>
      </c>
      <c r="J54" s="170">
        <v>0.0046306843467191225</v>
      </c>
      <c r="K54" s="170">
        <v>0.20935608667943997</v>
      </c>
      <c r="L54" s="55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4.25" customHeight="1">
      <c r="A55" s="36"/>
      <c r="B55" s="67">
        <v>49.0</v>
      </c>
      <c r="C55" s="167"/>
      <c r="D55" s="168" t="s">
        <v>88</v>
      </c>
      <c r="E55" s="169" t="s">
        <v>89</v>
      </c>
      <c r="F55" s="170">
        <v>0.803190142993543</v>
      </c>
      <c r="G55" s="171">
        <v>3.0</v>
      </c>
      <c r="H55" s="170">
        <v>0.4</v>
      </c>
      <c r="I55" s="170">
        <v>0.25</v>
      </c>
      <c r="J55" s="170">
        <v>1.2029142377723105E-7</v>
      </c>
      <c r="K55" s="170">
        <v>0.27241853656952375</v>
      </c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4.25" customHeight="1">
      <c r="A56" s="36"/>
      <c r="B56" s="67">
        <v>50.0</v>
      </c>
      <c r="C56" s="167"/>
      <c r="D56" s="168" t="s">
        <v>86</v>
      </c>
      <c r="E56" s="169" t="s">
        <v>87</v>
      </c>
      <c r="F56" s="170">
        <v>0.7794474957490618</v>
      </c>
      <c r="G56" s="171">
        <v>2.0</v>
      </c>
      <c r="H56" s="180">
        <v>0.3333333333333333</v>
      </c>
      <c r="I56" s="180">
        <v>0.0</v>
      </c>
      <c r="J56" s="170">
        <v>0.48751579257868244</v>
      </c>
      <c r="K56" s="170">
        <v>0.2509794429471574</v>
      </c>
      <c r="L56" s="55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4.25" customHeight="1">
      <c r="A57" s="36"/>
      <c r="B57" s="67">
        <v>51.0</v>
      </c>
      <c r="C57" s="167"/>
      <c r="D57" s="168" t="s">
        <v>226</v>
      </c>
      <c r="E57" s="169" t="s">
        <v>227</v>
      </c>
      <c r="F57" s="170">
        <v>0.4604975411000692</v>
      </c>
      <c r="G57" s="171">
        <v>3.0</v>
      </c>
      <c r="H57" s="170">
        <v>0.3333333333333333</v>
      </c>
      <c r="I57" s="170">
        <v>0.0</v>
      </c>
      <c r="J57" s="170">
        <v>0.0</v>
      </c>
      <c r="K57" s="180">
        <v>0.017439213619275876</v>
      </c>
      <c r="L57" s="55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4.25" customHeight="1">
      <c r="A58" s="36"/>
      <c r="B58" s="67">
        <v>52.0</v>
      </c>
      <c r="C58" s="167"/>
      <c r="D58" s="168" t="s">
        <v>90</v>
      </c>
      <c r="E58" s="169" t="s">
        <v>91</v>
      </c>
      <c r="F58" s="170">
        <v>0.9651050807077326</v>
      </c>
      <c r="G58" s="171">
        <v>3.0</v>
      </c>
      <c r="H58" s="181">
        <v>0.8333333333333334</v>
      </c>
      <c r="I58" s="181">
        <v>0.5</v>
      </c>
      <c r="J58" s="170">
        <v>0.0</v>
      </c>
      <c r="K58" s="170">
        <v>0.2329264922103182</v>
      </c>
      <c r="L58" s="55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4.25" customHeight="1">
      <c r="A59" s="36"/>
      <c r="B59" s="67">
        <v>53.0</v>
      </c>
      <c r="C59" s="167"/>
      <c r="D59" s="168" t="s">
        <v>92</v>
      </c>
      <c r="E59" s="169" t="s">
        <v>93</v>
      </c>
      <c r="F59" s="170">
        <v>0.8494856887298747</v>
      </c>
      <c r="G59" s="171">
        <v>3.0</v>
      </c>
      <c r="H59" s="170">
        <v>0.3333333333333333</v>
      </c>
      <c r="I59" s="170">
        <v>0.2</v>
      </c>
      <c r="J59" s="170">
        <v>2.4381335718545022E-4</v>
      </c>
      <c r="K59" s="170">
        <v>0.26252524124830995</v>
      </c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4.25" customHeight="1">
      <c r="A60" s="36"/>
      <c r="B60" s="67">
        <v>54.0</v>
      </c>
      <c r="C60" s="167"/>
      <c r="D60" s="168" t="s">
        <v>94</v>
      </c>
      <c r="E60" s="169" t="s">
        <v>95</v>
      </c>
      <c r="F60" s="170">
        <v>0.6447466237208469</v>
      </c>
      <c r="G60" s="171">
        <v>3.0</v>
      </c>
      <c r="H60" s="170">
        <v>0.5</v>
      </c>
      <c r="I60" s="170">
        <v>0.0</v>
      </c>
      <c r="J60" s="170">
        <v>0.5381022223926452</v>
      </c>
      <c r="K60" s="170">
        <v>0.21857042049741165</v>
      </c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4.25" customHeight="1">
      <c r="A61" s="36"/>
      <c r="B61" s="67">
        <v>55.0</v>
      </c>
      <c r="C61" s="167">
        <v>2023.0</v>
      </c>
      <c r="D61" s="168" t="s">
        <v>15</v>
      </c>
      <c r="E61" s="169" t="s">
        <v>16</v>
      </c>
      <c r="F61" s="170">
        <v>0.7968471641377171</v>
      </c>
      <c r="G61" s="171">
        <v>3.0</v>
      </c>
      <c r="H61" s="170">
        <v>0.5</v>
      </c>
      <c r="I61" s="170">
        <v>0.0</v>
      </c>
      <c r="J61" s="170">
        <v>0.0</v>
      </c>
      <c r="K61" s="170">
        <v>0.27377948389051543</v>
      </c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4.25" customHeight="1">
      <c r="A62" s="36"/>
      <c r="B62" s="67">
        <v>56.0</v>
      </c>
      <c r="C62" s="167"/>
      <c r="D62" s="168" t="s">
        <v>98</v>
      </c>
      <c r="E62" s="169" t="s">
        <v>99</v>
      </c>
      <c r="F62" s="170">
        <v>0.9152392638848016</v>
      </c>
      <c r="G62" s="171">
        <v>3.0</v>
      </c>
      <c r="H62" s="170">
        <v>0.3333333333333333</v>
      </c>
      <c r="I62" s="180">
        <v>0.0</v>
      </c>
      <c r="J62" s="170">
        <v>6.780847090541939E-6</v>
      </c>
      <c r="K62" s="170">
        <v>0.21416261634740622</v>
      </c>
      <c r="L62" s="55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4.25" customHeight="1">
      <c r="A63" s="36"/>
      <c r="B63" s="67">
        <v>57.0</v>
      </c>
      <c r="C63" s="167"/>
      <c r="D63" s="168" t="s">
        <v>78</v>
      </c>
      <c r="E63" s="169" t="s">
        <v>79</v>
      </c>
      <c r="F63" s="170">
        <v>0.5318543306204202</v>
      </c>
      <c r="G63" s="171">
        <v>3.0</v>
      </c>
      <c r="H63" s="170">
        <v>0.5</v>
      </c>
      <c r="I63" s="170">
        <v>0.0</v>
      </c>
      <c r="J63" s="170">
        <v>0.014342370783946096</v>
      </c>
      <c r="K63" s="170">
        <v>0.18642160478821543</v>
      </c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4.25" customHeight="1">
      <c r="A64" s="36"/>
      <c r="B64" s="67">
        <v>58.0</v>
      </c>
      <c r="C64" s="167"/>
      <c r="D64" s="168" t="s">
        <v>104</v>
      </c>
      <c r="E64" s="169" t="s">
        <v>105</v>
      </c>
      <c r="F64" s="170">
        <v>0.8169222011373884</v>
      </c>
      <c r="G64" s="171">
        <v>3.0</v>
      </c>
      <c r="H64" s="170">
        <v>0.42857142857142855</v>
      </c>
      <c r="I64" s="170">
        <v>0.16666666666666666</v>
      </c>
      <c r="J64" s="170">
        <v>0.09867992188839282</v>
      </c>
      <c r="K64" s="181">
        <v>0.3869420462514994</v>
      </c>
      <c r="L64" s="55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4.25" customHeight="1">
      <c r="A65" s="36"/>
      <c r="B65" s="67">
        <v>59.0</v>
      </c>
      <c r="C65" s="167"/>
      <c r="D65" s="168" t="s">
        <v>18</v>
      </c>
      <c r="E65" s="169" t="s">
        <v>19</v>
      </c>
      <c r="F65" s="170">
        <v>0.5414375</v>
      </c>
      <c r="G65" s="171">
        <v>3.0</v>
      </c>
      <c r="H65" s="170">
        <v>0.5</v>
      </c>
      <c r="I65" s="170">
        <v>0.0</v>
      </c>
      <c r="J65" s="170">
        <v>0.0010776333333333333</v>
      </c>
      <c r="K65" s="170">
        <v>0.18824900019757596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4.25" customHeight="1">
      <c r="A66" s="36"/>
      <c r="B66" s="67">
        <v>60.0</v>
      </c>
      <c r="C66" s="167"/>
      <c r="D66" s="168" t="s">
        <v>108</v>
      </c>
      <c r="E66" s="169" t="s">
        <v>109</v>
      </c>
      <c r="F66" s="180">
        <v>0.0021473916737468138</v>
      </c>
      <c r="G66" s="171">
        <v>3.0</v>
      </c>
      <c r="H66" s="170">
        <v>0.5</v>
      </c>
      <c r="I66" s="170">
        <v>0.0</v>
      </c>
      <c r="J66" s="170">
        <v>0.015204910790144435</v>
      </c>
      <c r="K66" s="170">
        <v>0.20694716780182976</v>
      </c>
      <c r="L66" s="55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4.25" customHeight="1">
      <c r="A67" s="36"/>
      <c r="B67" s="67">
        <v>61.0</v>
      </c>
      <c r="C67" s="167"/>
      <c r="D67" s="168" t="s">
        <v>222</v>
      </c>
      <c r="E67" s="169" t="s">
        <v>223</v>
      </c>
      <c r="F67" s="170">
        <v>0.8702033613445378</v>
      </c>
      <c r="G67" s="171">
        <v>3.0</v>
      </c>
      <c r="H67" s="170">
        <v>0.5</v>
      </c>
      <c r="I67" s="170">
        <v>0.3333333333333333</v>
      </c>
      <c r="J67" s="170">
        <v>0.0</v>
      </c>
      <c r="K67" s="170">
        <v>0.21568538163422457</v>
      </c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4.25" customHeight="1">
      <c r="A68" s="36"/>
      <c r="B68" s="67">
        <v>62.0</v>
      </c>
      <c r="C68" s="167"/>
      <c r="D68" s="168" t="s">
        <v>74</v>
      </c>
      <c r="E68" s="169" t="s">
        <v>75</v>
      </c>
      <c r="F68" s="170">
        <v>0.7688</v>
      </c>
      <c r="G68" s="171">
        <v>3.0</v>
      </c>
      <c r="H68" s="170">
        <v>0.3333333333333333</v>
      </c>
      <c r="I68" s="170">
        <v>0.2</v>
      </c>
      <c r="J68" s="170">
        <v>0.010477569391459904</v>
      </c>
      <c r="K68" s="170">
        <v>0.21376573643459656</v>
      </c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4.25" customHeight="1">
      <c r="A69" s="36"/>
      <c r="B69" s="67">
        <v>63.0</v>
      </c>
      <c r="C69" s="167"/>
      <c r="D69" s="168" t="s">
        <v>28</v>
      </c>
      <c r="E69" s="169" t="s">
        <v>29</v>
      </c>
      <c r="F69" s="182">
        <v>0.22834844769475982</v>
      </c>
      <c r="G69" s="171">
        <v>4.0</v>
      </c>
      <c r="H69" s="170">
        <v>0.3333333333333333</v>
      </c>
      <c r="I69" s="170">
        <v>0.0</v>
      </c>
      <c r="J69" s="181">
        <v>0.7518337027452766</v>
      </c>
      <c r="K69" s="170">
        <v>0.20457762763282128</v>
      </c>
      <c r="L69" s="55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4.25" customHeight="1">
      <c r="A70" s="36"/>
      <c r="B70" s="67">
        <v>64.0</v>
      </c>
      <c r="C70" s="167"/>
      <c r="D70" s="168" t="s">
        <v>24</v>
      </c>
      <c r="E70" s="169" t="s">
        <v>25</v>
      </c>
      <c r="F70" s="181">
        <v>0.9909161895962922</v>
      </c>
      <c r="G70" s="171">
        <v>3.0</v>
      </c>
      <c r="H70" s="170">
        <v>0.5</v>
      </c>
      <c r="I70" s="170">
        <v>0.16666666666666666</v>
      </c>
      <c r="J70" s="170">
        <v>0.0</v>
      </c>
      <c r="K70" s="170">
        <v>0.22650085004930118</v>
      </c>
      <c r="L70" s="55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4.25" customHeight="1">
      <c r="A71" s="36"/>
      <c r="B71" s="67">
        <v>65.0</v>
      </c>
      <c r="C71" s="167"/>
      <c r="D71" s="168" t="s">
        <v>110</v>
      </c>
      <c r="E71" s="169" t="s">
        <v>111</v>
      </c>
      <c r="F71" s="170">
        <v>0.7911395586191797</v>
      </c>
      <c r="G71" s="171">
        <v>3.0</v>
      </c>
      <c r="H71" s="170">
        <v>0.5</v>
      </c>
      <c r="I71" s="170">
        <v>0.0</v>
      </c>
      <c r="J71" s="170">
        <v>1.9052788337479195E-4</v>
      </c>
      <c r="K71" s="170">
        <v>0.23114724923119317</v>
      </c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4.25" customHeight="1">
      <c r="A72" s="36"/>
      <c r="B72" s="67">
        <v>66.0</v>
      </c>
      <c r="C72" s="167"/>
      <c r="D72" s="168" t="s">
        <v>26</v>
      </c>
      <c r="E72" s="169" t="s">
        <v>27</v>
      </c>
      <c r="F72" s="170">
        <v>0.8697155473170731</v>
      </c>
      <c r="G72" s="171">
        <v>3.0</v>
      </c>
      <c r="H72" s="170">
        <v>0.3333333333333333</v>
      </c>
      <c r="I72" s="170">
        <v>0.0</v>
      </c>
      <c r="J72" s="170">
        <v>0.0</v>
      </c>
      <c r="K72" s="170">
        <v>0.26405977624356824</v>
      </c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4.25" customHeight="1">
      <c r="A73" s="36"/>
      <c r="B73" s="67">
        <v>67.0</v>
      </c>
      <c r="C73" s="167"/>
      <c r="D73" s="168" t="s">
        <v>30</v>
      </c>
      <c r="E73" s="169" t="s">
        <v>31</v>
      </c>
      <c r="F73" s="170">
        <v>0.6638976353292952</v>
      </c>
      <c r="G73" s="171">
        <v>3.0</v>
      </c>
      <c r="H73" s="170">
        <v>0.4</v>
      </c>
      <c r="I73" s="170">
        <v>0.0</v>
      </c>
      <c r="J73" s="170">
        <v>0.0</v>
      </c>
      <c r="K73" s="170">
        <v>0.20514680951555808</v>
      </c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4.25" customHeight="1">
      <c r="A74" s="36"/>
      <c r="B74" s="67">
        <v>68.0</v>
      </c>
      <c r="C74" s="167"/>
      <c r="D74" s="168" t="s">
        <v>120</v>
      </c>
      <c r="E74" s="169" t="s">
        <v>121</v>
      </c>
      <c r="F74" s="170">
        <v>0.20615002705326235</v>
      </c>
      <c r="G74" s="171">
        <v>3.0</v>
      </c>
      <c r="H74" s="181">
        <v>0.8</v>
      </c>
      <c r="I74" s="170">
        <v>0.0</v>
      </c>
      <c r="J74" s="170">
        <v>0.39634833089873334</v>
      </c>
      <c r="K74" s="170">
        <v>0.22766089288653504</v>
      </c>
      <c r="L74" s="55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4.25" customHeight="1">
      <c r="A75" s="36"/>
      <c r="B75" s="67">
        <v>69.0</v>
      </c>
      <c r="C75" s="167"/>
      <c r="D75" s="168" t="s">
        <v>118</v>
      </c>
      <c r="E75" s="169" t="s">
        <v>119</v>
      </c>
      <c r="F75" s="170">
        <v>0.6929469874438349</v>
      </c>
      <c r="G75" s="171">
        <v>3.0</v>
      </c>
      <c r="H75" s="170">
        <v>0.4</v>
      </c>
      <c r="I75" s="170">
        <v>0.25</v>
      </c>
      <c r="J75" s="170">
        <v>0.0</v>
      </c>
      <c r="K75" s="170">
        <v>0.22432204476945522</v>
      </c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4.25" customHeight="1">
      <c r="A76" s="36"/>
      <c r="B76" s="67">
        <v>70.0</v>
      </c>
      <c r="C76" s="167"/>
      <c r="D76" s="168" t="s">
        <v>32</v>
      </c>
      <c r="E76" s="169" t="s">
        <v>33</v>
      </c>
      <c r="F76" s="170">
        <v>0.7581191254315253</v>
      </c>
      <c r="G76" s="171">
        <v>3.0</v>
      </c>
      <c r="H76" s="170">
        <v>0.3333333333333333</v>
      </c>
      <c r="I76" s="170">
        <v>0.25</v>
      </c>
      <c r="J76" s="170">
        <v>0.14610453076170266</v>
      </c>
      <c r="K76" s="170">
        <v>0.26211356226268867</v>
      </c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4.25" customHeight="1">
      <c r="A77" s="36"/>
      <c r="B77" s="67">
        <v>71.0</v>
      </c>
      <c r="C77" s="167"/>
      <c r="D77" s="168" t="s">
        <v>126</v>
      </c>
      <c r="E77" s="169" t="s">
        <v>127</v>
      </c>
      <c r="F77" s="170">
        <v>0.9552895087571622</v>
      </c>
      <c r="G77" s="171">
        <v>3.0</v>
      </c>
      <c r="H77" s="170">
        <v>0.4</v>
      </c>
      <c r="I77" s="170">
        <v>0.25</v>
      </c>
      <c r="J77" s="170">
        <v>0.0017122496898812688</v>
      </c>
      <c r="K77" s="170">
        <v>0.2253056860703936</v>
      </c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4.25" customHeight="1">
      <c r="A78" s="36"/>
      <c r="B78" s="67">
        <v>72.0</v>
      </c>
      <c r="C78" s="167"/>
      <c r="D78" s="168" t="s">
        <v>134</v>
      </c>
      <c r="E78" s="169" t="s">
        <v>135</v>
      </c>
      <c r="F78" s="181">
        <v>0.9999430210702461</v>
      </c>
      <c r="G78" s="171">
        <v>3.0</v>
      </c>
      <c r="H78" s="170">
        <v>0.5</v>
      </c>
      <c r="I78" s="170">
        <v>0.0</v>
      </c>
      <c r="J78" s="170">
        <v>0.0</v>
      </c>
      <c r="K78" s="170">
        <v>0.3529001036697334</v>
      </c>
      <c r="L78" s="55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4.25" customHeight="1">
      <c r="A79" s="36"/>
      <c r="B79" s="67">
        <v>73.0</v>
      </c>
      <c r="C79" s="167"/>
      <c r="D79" s="168" t="s">
        <v>234</v>
      </c>
      <c r="E79" s="169" t="s">
        <v>235</v>
      </c>
      <c r="F79" s="170">
        <v>0.8947627083333334</v>
      </c>
      <c r="G79" s="171">
        <v>3.0</v>
      </c>
      <c r="H79" s="170">
        <v>0.5</v>
      </c>
      <c r="I79" s="170">
        <v>0.3333333333333333</v>
      </c>
      <c r="J79" s="170">
        <v>0.0</v>
      </c>
      <c r="K79" s="170">
        <v>0.23919029847463633</v>
      </c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4.25" customHeight="1">
      <c r="A80" s="36"/>
      <c r="B80" s="67">
        <v>74.0</v>
      </c>
      <c r="C80" s="167"/>
      <c r="D80" s="168" t="s">
        <v>40</v>
      </c>
      <c r="E80" s="169" t="s">
        <v>41</v>
      </c>
      <c r="F80" s="170">
        <v>0.899</v>
      </c>
      <c r="G80" s="171">
        <v>3.0</v>
      </c>
      <c r="H80" s="170">
        <v>0.5</v>
      </c>
      <c r="I80" s="170">
        <v>0.0</v>
      </c>
      <c r="J80" s="170">
        <v>0.006728865831500431</v>
      </c>
      <c r="K80" s="170">
        <v>0.2239238014836719</v>
      </c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4.25" customHeight="1">
      <c r="A81" s="36"/>
      <c r="B81" s="67">
        <v>75.0</v>
      </c>
      <c r="C81" s="167"/>
      <c r="D81" s="168" t="s">
        <v>38</v>
      </c>
      <c r="E81" s="169" t="s">
        <v>39</v>
      </c>
      <c r="F81" s="170">
        <v>0.5071979290698662</v>
      </c>
      <c r="G81" s="171">
        <v>3.0</v>
      </c>
      <c r="H81" s="170">
        <v>0.3333333333333333</v>
      </c>
      <c r="I81" s="170">
        <v>0.0</v>
      </c>
      <c r="J81" s="170">
        <v>0.17119292455435933</v>
      </c>
      <c r="K81" s="170">
        <v>0.2318588502949919</v>
      </c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4.25" customHeight="1">
      <c r="A82" s="36"/>
      <c r="B82" s="67">
        <v>76.0</v>
      </c>
      <c r="C82" s="167"/>
      <c r="D82" s="168" t="s">
        <v>140</v>
      </c>
      <c r="E82" s="169" t="s">
        <v>141</v>
      </c>
      <c r="F82" s="170">
        <v>0.6488905833333334</v>
      </c>
      <c r="G82" s="171">
        <v>3.0</v>
      </c>
      <c r="H82" s="170">
        <v>0.3333333333333333</v>
      </c>
      <c r="I82" s="170">
        <v>0.0</v>
      </c>
      <c r="J82" s="170">
        <v>0.2667435166666667</v>
      </c>
      <c r="K82" s="181">
        <v>0.8023361776157734</v>
      </c>
      <c r="L82" s="55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4.25" customHeight="1">
      <c r="A83" s="36"/>
      <c r="B83" s="67">
        <v>77.0</v>
      </c>
      <c r="C83" s="167"/>
      <c r="D83" s="168" t="s">
        <v>42</v>
      </c>
      <c r="E83" s="169" t="s">
        <v>43</v>
      </c>
      <c r="F83" s="170">
        <v>0.9535855591419256</v>
      </c>
      <c r="G83" s="171">
        <v>3.0</v>
      </c>
      <c r="H83" s="170">
        <v>0.5</v>
      </c>
      <c r="I83" s="170">
        <v>0.14285714285714285</v>
      </c>
      <c r="J83" s="170">
        <v>0.0</v>
      </c>
      <c r="K83" s="170">
        <v>0.21475669254432045</v>
      </c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4.25" customHeight="1">
      <c r="A84" s="36"/>
      <c r="B84" s="67">
        <v>78.0</v>
      </c>
      <c r="C84" s="167"/>
      <c r="D84" s="168" t="s">
        <v>44</v>
      </c>
      <c r="E84" s="169" t="s">
        <v>45</v>
      </c>
      <c r="F84" s="170">
        <v>0.8053294538080733</v>
      </c>
      <c r="G84" s="171">
        <v>3.0</v>
      </c>
      <c r="H84" s="170">
        <v>0.5</v>
      </c>
      <c r="I84" s="170">
        <v>0.0</v>
      </c>
      <c r="J84" s="170">
        <v>0.0</v>
      </c>
      <c r="K84" s="170">
        <v>0.26034512240739005</v>
      </c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4.25" customHeight="1">
      <c r="A85" s="36"/>
      <c r="B85" s="67">
        <v>79.0</v>
      </c>
      <c r="C85" s="167"/>
      <c r="D85" s="168" t="s">
        <v>46</v>
      </c>
      <c r="E85" s="169" t="s">
        <v>47</v>
      </c>
      <c r="F85" s="170">
        <v>0.945399999988611</v>
      </c>
      <c r="G85" s="171">
        <v>3.0</v>
      </c>
      <c r="H85" s="170">
        <v>0.375</v>
      </c>
      <c r="I85" s="170">
        <v>0.10526315789473684</v>
      </c>
      <c r="J85" s="170">
        <v>1.571700417969446E-4</v>
      </c>
      <c r="K85" s="170">
        <v>0.2639481039979548</v>
      </c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4.25" customHeight="1">
      <c r="A86" s="36"/>
      <c r="B86" s="67">
        <v>80.0</v>
      </c>
      <c r="C86" s="167"/>
      <c r="D86" s="168" t="s">
        <v>150</v>
      </c>
      <c r="E86" s="169" t="s">
        <v>151</v>
      </c>
      <c r="F86" s="180">
        <v>0.07015902712815715</v>
      </c>
      <c r="G86" s="171">
        <v>3.0</v>
      </c>
      <c r="H86" s="170">
        <v>0.5</v>
      </c>
      <c r="I86" s="170">
        <v>0.25</v>
      </c>
      <c r="J86" s="181">
        <v>0.6488945701165065</v>
      </c>
      <c r="K86" s="170">
        <v>0.25552043953943526</v>
      </c>
      <c r="L86" s="55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4.25" customHeight="1">
      <c r="A87" s="36"/>
      <c r="B87" s="67">
        <v>81.0</v>
      </c>
      <c r="C87" s="167"/>
      <c r="D87" s="168" t="s">
        <v>48</v>
      </c>
      <c r="E87" s="169" t="s">
        <v>49</v>
      </c>
      <c r="F87" s="170">
        <v>0.8971093441760294</v>
      </c>
      <c r="G87" s="171">
        <v>3.0</v>
      </c>
      <c r="H87" s="170">
        <v>0.5</v>
      </c>
      <c r="I87" s="170">
        <v>0.0</v>
      </c>
      <c r="J87" s="170">
        <v>2.3462945939794685E-4</v>
      </c>
      <c r="K87" s="170">
        <v>0.25000455901626734</v>
      </c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4.25" customHeight="1">
      <c r="A88" s="36"/>
      <c r="B88" s="67">
        <v>82.0</v>
      </c>
      <c r="C88" s="167"/>
      <c r="D88" s="168" t="s">
        <v>178</v>
      </c>
      <c r="E88" s="169" t="s">
        <v>179</v>
      </c>
      <c r="F88" s="170">
        <v>0.9060962</v>
      </c>
      <c r="G88" s="171">
        <v>3.0</v>
      </c>
      <c r="H88" s="170">
        <v>0.3333333333333333</v>
      </c>
      <c r="I88" s="180">
        <v>0.0</v>
      </c>
      <c r="J88" s="170">
        <v>0.0032039333333333335</v>
      </c>
      <c r="K88" s="170">
        <v>0.21983013181090055</v>
      </c>
      <c r="L88" s="55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4.25" customHeight="1">
      <c r="A89" s="36"/>
      <c r="B89" s="67">
        <v>83.0</v>
      </c>
      <c r="C89" s="167"/>
      <c r="D89" s="168" t="s">
        <v>162</v>
      </c>
      <c r="E89" s="169" t="s">
        <v>163</v>
      </c>
      <c r="F89" s="170">
        <v>0.76190476375</v>
      </c>
      <c r="G89" s="171">
        <v>3.0</v>
      </c>
      <c r="H89" s="170">
        <v>0.5</v>
      </c>
      <c r="I89" s="170">
        <v>0.25</v>
      </c>
      <c r="J89" s="170">
        <v>0.02803175875</v>
      </c>
      <c r="K89" s="170">
        <v>0.21211369103980385</v>
      </c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4.25" customHeight="1">
      <c r="A90" s="36"/>
      <c r="B90" s="67">
        <v>84.0</v>
      </c>
      <c r="C90" s="167"/>
      <c r="D90" s="168" t="s">
        <v>68</v>
      </c>
      <c r="E90" s="169" t="s">
        <v>69</v>
      </c>
      <c r="F90" s="170">
        <v>0.5961901457055573</v>
      </c>
      <c r="G90" s="171">
        <v>3.0</v>
      </c>
      <c r="H90" s="170">
        <v>0.4</v>
      </c>
      <c r="I90" s="170">
        <v>0.1111111111111111</v>
      </c>
      <c r="J90" s="170">
        <v>3.108520823394116E-5</v>
      </c>
      <c r="K90" s="180">
        <v>0.16540344471191298</v>
      </c>
      <c r="L90" s="55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4.25" customHeight="1">
      <c r="A91" s="36"/>
      <c r="B91" s="67">
        <v>85.0</v>
      </c>
      <c r="C91" s="167"/>
      <c r="D91" s="168" t="s">
        <v>52</v>
      </c>
      <c r="E91" s="169" t="s">
        <v>53</v>
      </c>
      <c r="F91" s="170">
        <v>0.572704921049693</v>
      </c>
      <c r="G91" s="171">
        <v>3.0</v>
      </c>
      <c r="H91" s="170">
        <v>0.6</v>
      </c>
      <c r="I91" s="170">
        <v>0.0</v>
      </c>
      <c r="J91" s="170">
        <v>0.0033923394751535457</v>
      </c>
      <c r="K91" s="181">
        <v>0.43298713208750866</v>
      </c>
      <c r="L91" s="55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4.25" customHeight="1">
      <c r="A92" s="36"/>
      <c r="B92" s="67">
        <v>86.0</v>
      </c>
      <c r="C92" s="167"/>
      <c r="D92" s="168" t="s">
        <v>58</v>
      </c>
      <c r="E92" s="169" t="s">
        <v>59</v>
      </c>
      <c r="F92" s="170">
        <v>0.9414764413263077</v>
      </c>
      <c r="G92" s="171">
        <v>3.0</v>
      </c>
      <c r="H92" s="170">
        <v>0.6666666666666666</v>
      </c>
      <c r="I92" s="170">
        <v>0.4</v>
      </c>
      <c r="J92" s="170">
        <v>0.006713265169117038</v>
      </c>
      <c r="K92" s="170">
        <v>0.18810265119350883</v>
      </c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4.25" customHeight="1">
      <c r="A93" s="36"/>
      <c r="B93" s="67">
        <v>87.0</v>
      </c>
      <c r="C93" s="167"/>
      <c r="D93" s="168" t="s">
        <v>60</v>
      </c>
      <c r="E93" s="169" t="s">
        <v>61</v>
      </c>
      <c r="F93" s="170">
        <v>0.8931898433792121</v>
      </c>
      <c r="G93" s="171">
        <v>3.0</v>
      </c>
      <c r="H93" s="170">
        <v>0.4</v>
      </c>
      <c r="I93" s="181">
        <v>0.6</v>
      </c>
      <c r="J93" s="170">
        <v>0.0</v>
      </c>
      <c r="K93" s="170">
        <v>0.23699524940617578</v>
      </c>
      <c r="L93" s="55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4.25" customHeight="1">
      <c r="A94" s="36"/>
      <c r="B94" s="67">
        <v>88.0</v>
      </c>
      <c r="C94" s="167"/>
      <c r="D94" s="168" t="s">
        <v>62</v>
      </c>
      <c r="E94" s="169" t="s">
        <v>63</v>
      </c>
      <c r="F94" s="170">
        <v>0.5856202741604056</v>
      </c>
      <c r="G94" s="171">
        <v>3.0</v>
      </c>
      <c r="H94" s="170">
        <v>0.4</v>
      </c>
      <c r="I94" s="170">
        <v>0.0</v>
      </c>
      <c r="J94" s="170">
        <v>4.511399978552719E-4</v>
      </c>
      <c r="K94" s="181">
        <v>0.6529992019154031</v>
      </c>
      <c r="L94" s="55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4.25" customHeight="1">
      <c r="A95" s="36"/>
      <c r="B95" s="67">
        <v>89.0</v>
      </c>
      <c r="C95" s="167"/>
      <c r="D95" s="168" t="s">
        <v>54</v>
      </c>
      <c r="E95" s="169" t="s">
        <v>55</v>
      </c>
      <c r="F95" s="170">
        <v>0.5907083858831151</v>
      </c>
      <c r="G95" s="171">
        <v>3.0</v>
      </c>
      <c r="H95" s="170">
        <v>0.4</v>
      </c>
      <c r="I95" s="170">
        <v>0.0</v>
      </c>
      <c r="J95" s="170">
        <v>0.2525240988717648</v>
      </c>
      <c r="K95" s="170">
        <v>0.2073528735891577</v>
      </c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4.25" customHeight="1">
      <c r="A96" s="36"/>
      <c r="B96" s="67">
        <v>90.0</v>
      </c>
      <c r="C96" s="167"/>
      <c r="D96" s="168" t="s">
        <v>190</v>
      </c>
      <c r="E96" s="169" t="s">
        <v>191</v>
      </c>
      <c r="F96" s="170">
        <v>0.9292897058908635</v>
      </c>
      <c r="G96" s="171">
        <v>3.0</v>
      </c>
      <c r="H96" s="170">
        <v>0.5</v>
      </c>
      <c r="I96" s="170">
        <v>0.0</v>
      </c>
      <c r="J96" s="170">
        <v>2.7536451943803564E-6</v>
      </c>
      <c r="K96" s="170">
        <v>0.22483993518849085</v>
      </c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4.25" customHeight="1">
      <c r="A97" s="36"/>
      <c r="B97" s="67">
        <v>91.0</v>
      </c>
      <c r="C97" s="167"/>
      <c r="D97" s="168" t="s">
        <v>64</v>
      </c>
      <c r="E97" s="169" t="s">
        <v>65</v>
      </c>
      <c r="F97" s="170">
        <v>0.8827639946949603</v>
      </c>
      <c r="G97" s="171">
        <v>3.0</v>
      </c>
      <c r="H97" s="170">
        <v>0.5</v>
      </c>
      <c r="I97" s="181">
        <v>0.42857142857142855</v>
      </c>
      <c r="J97" s="170">
        <v>0.08488063660477453</v>
      </c>
      <c r="K97" s="180">
        <v>0.167342434448286</v>
      </c>
      <c r="L97" s="55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4.25" customHeight="1">
      <c r="A98" s="36"/>
      <c r="B98" s="67">
        <v>92.0</v>
      </c>
      <c r="C98" s="167"/>
      <c r="D98" s="168" t="s">
        <v>184</v>
      </c>
      <c r="E98" s="169" t="s">
        <v>185</v>
      </c>
      <c r="F98" s="181">
        <v>0.992052568768794</v>
      </c>
      <c r="G98" s="171">
        <v>3.0</v>
      </c>
      <c r="H98" s="180">
        <v>0.3333333333333333</v>
      </c>
      <c r="I98" s="181">
        <v>0.6</v>
      </c>
      <c r="J98" s="180">
        <v>0.0</v>
      </c>
      <c r="K98" s="170">
        <v>0.2212437502975395</v>
      </c>
      <c r="L98" s="55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4.25" customHeight="1">
      <c r="A99" s="36"/>
      <c r="B99" s="67">
        <v>93.0</v>
      </c>
      <c r="C99" s="167"/>
      <c r="D99" s="168" t="s">
        <v>176</v>
      </c>
      <c r="E99" s="169" t="s">
        <v>177</v>
      </c>
      <c r="F99" s="170">
        <v>0.8969389199372056</v>
      </c>
      <c r="G99" s="171">
        <v>4.0</v>
      </c>
      <c r="H99" s="170">
        <v>0.6</v>
      </c>
      <c r="I99" s="170">
        <v>0.0</v>
      </c>
      <c r="J99" s="170">
        <v>0.0</v>
      </c>
      <c r="K99" s="170">
        <v>0.3102445366124553</v>
      </c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4.25" customHeight="1">
      <c r="A100" s="36"/>
      <c r="B100" s="67">
        <v>94.0</v>
      </c>
      <c r="C100" s="167"/>
      <c r="D100" s="168" t="s">
        <v>72</v>
      </c>
      <c r="E100" s="169" t="s">
        <v>73</v>
      </c>
      <c r="F100" s="170">
        <v>0.945799072044658</v>
      </c>
      <c r="G100" s="171">
        <v>3.0</v>
      </c>
      <c r="H100" s="170">
        <v>0.6666666666666666</v>
      </c>
      <c r="I100" s="170">
        <v>0.0</v>
      </c>
      <c r="J100" s="170">
        <v>0.0</v>
      </c>
      <c r="K100" s="181">
        <v>0.40779787855784927</v>
      </c>
      <c r="L100" s="55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4.25" customHeight="1">
      <c r="A101" s="36"/>
      <c r="B101" s="67">
        <v>95.0</v>
      </c>
      <c r="C101" s="167"/>
      <c r="D101" s="168" t="s">
        <v>70</v>
      </c>
      <c r="E101" s="169" t="s">
        <v>71</v>
      </c>
      <c r="F101" s="170">
        <v>0.8743</v>
      </c>
      <c r="G101" s="171">
        <v>3.0</v>
      </c>
      <c r="H101" s="170">
        <v>0.3333333333333333</v>
      </c>
      <c r="I101" s="170">
        <v>0.1111111111111111</v>
      </c>
      <c r="J101" s="170">
        <v>5.93498226924047E-5</v>
      </c>
      <c r="K101" s="181">
        <v>0.37703511957136204</v>
      </c>
      <c r="L101" s="55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4.25" customHeight="1">
      <c r="A102" s="36"/>
      <c r="B102" s="67">
        <v>96.0</v>
      </c>
      <c r="C102" s="167"/>
      <c r="D102" s="168" t="s">
        <v>202</v>
      </c>
      <c r="E102" s="169" t="s">
        <v>203</v>
      </c>
      <c r="F102" s="170">
        <v>0.9819441888813527</v>
      </c>
      <c r="G102" s="171">
        <v>3.0</v>
      </c>
      <c r="H102" s="170">
        <v>0.3333333333333333</v>
      </c>
      <c r="I102" s="170">
        <v>0.2</v>
      </c>
      <c r="J102" s="170">
        <v>0.005407951321806091</v>
      </c>
      <c r="K102" s="170">
        <v>0.22000000000064154</v>
      </c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4.25" customHeight="1">
      <c r="A103" s="36"/>
      <c r="B103" s="67">
        <v>97.0</v>
      </c>
      <c r="C103" s="167"/>
      <c r="D103" s="168" t="s">
        <v>206</v>
      </c>
      <c r="E103" s="169" t="s">
        <v>207</v>
      </c>
      <c r="F103" s="170">
        <v>0.9239968319737425</v>
      </c>
      <c r="G103" s="171">
        <v>3.0</v>
      </c>
      <c r="H103" s="170">
        <v>0.42857142857142855</v>
      </c>
      <c r="I103" s="170">
        <v>0.0</v>
      </c>
      <c r="J103" s="170">
        <v>0.0</v>
      </c>
      <c r="K103" s="180">
        <v>0.17225936660756833</v>
      </c>
      <c r="L103" s="55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4.25" customHeight="1">
      <c r="A104" s="36"/>
      <c r="B104" s="67">
        <v>98.0</v>
      </c>
      <c r="C104" s="167"/>
      <c r="D104" s="168" t="s">
        <v>76</v>
      </c>
      <c r="E104" s="169" t="s">
        <v>77</v>
      </c>
      <c r="F104" s="170">
        <v>0.7085371548556431</v>
      </c>
      <c r="G104" s="171">
        <v>3.0</v>
      </c>
      <c r="H104" s="170">
        <v>0.3333333333333333</v>
      </c>
      <c r="I104" s="170">
        <v>0.0</v>
      </c>
      <c r="J104" s="170">
        <v>1.5748031496062993E-5</v>
      </c>
      <c r="K104" s="181">
        <v>0.37693583379143225</v>
      </c>
      <c r="L104" s="55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4.25" customHeight="1">
      <c r="A105" s="36"/>
      <c r="B105" s="67">
        <v>99.0</v>
      </c>
      <c r="C105" s="167"/>
      <c r="D105" s="168" t="s">
        <v>204</v>
      </c>
      <c r="E105" s="169" t="s">
        <v>205</v>
      </c>
      <c r="F105" s="170">
        <v>0.6353743511450382</v>
      </c>
      <c r="G105" s="171">
        <v>3.0</v>
      </c>
      <c r="H105" s="170">
        <v>0.5</v>
      </c>
      <c r="I105" s="170">
        <v>0.0</v>
      </c>
      <c r="J105" s="170">
        <v>0.03187083969465649</v>
      </c>
      <c r="K105" s="180">
        <v>0.1676397245172241</v>
      </c>
      <c r="L105" s="55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4.25" customHeight="1">
      <c r="A106" s="36"/>
      <c r="B106" s="67">
        <v>100.0</v>
      </c>
      <c r="C106" s="167"/>
      <c r="D106" s="168" t="s">
        <v>82</v>
      </c>
      <c r="E106" s="169" t="s">
        <v>83</v>
      </c>
      <c r="F106" s="170">
        <v>0.8670394266930076</v>
      </c>
      <c r="G106" s="171">
        <v>3.0</v>
      </c>
      <c r="H106" s="170">
        <v>0.375</v>
      </c>
      <c r="I106" s="170">
        <v>0.2</v>
      </c>
      <c r="J106" s="170">
        <v>0.007229775132048594</v>
      </c>
      <c r="K106" s="180">
        <v>0.14416582779437206</v>
      </c>
      <c r="L106" s="55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4.25" customHeight="1">
      <c r="A107" s="36"/>
      <c r="B107" s="67">
        <v>101.0</v>
      </c>
      <c r="C107" s="167"/>
      <c r="D107" s="168" t="s">
        <v>84</v>
      </c>
      <c r="E107" s="169" t="s">
        <v>85</v>
      </c>
      <c r="F107" s="170">
        <v>0.6379350039720659</v>
      </c>
      <c r="G107" s="171">
        <v>3.0</v>
      </c>
      <c r="H107" s="170">
        <v>0.3333333333333333</v>
      </c>
      <c r="I107" s="170">
        <v>0.0</v>
      </c>
      <c r="J107" s="170">
        <v>0.0</v>
      </c>
      <c r="K107" s="170">
        <v>0.22097081844012964</v>
      </c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4.25" customHeight="1">
      <c r="A108" s="36"/>
      <c r="B108" s="67">
        <v>102.0</v>
      </c>
      <c r="C108" s="167"/>
      <c r="D108" s="168" t="s">
        <v>212</v>
      </c>
      <c r="E108" s="169" t="s">
        <v>213</v>
      </c>
      <c r="F108" s="182">
        <v>0.9767706449586442</v>
      </c>
      <c r="G108" s="171">
        <v>3.0</v>
      </c>
      <c r="H108" s="170">
        <v>0.4</v>
      </c>
      <c r="I108" s="170">
        <v>0.3333333333333333</v>
      </c>
      <c r="J108" s="170">
        <v>0.002897409914231767</v>
      </c>
      <c r="K108" s="170">
        <v>0.24921236053547569</v>
      </c>
      <c r="L108" s="55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4.25" customHeight="1">
      <c r="A109" s="36"/>
      <c r="B109" s="67">
        <v>103.0</v>
      </c>
      <c r="C109" s="167"/>
      <c r="D109" s="168" t="s">
        <v>88</v>
      </c>
      <c r="E109" s="169" t="s">
        <v>89</v>
      </c>
      <c r="F109" s="170">
        <v>0.803190142993543</v>
      </c>
      <c r="G109" s="171">
        <v>3.0</v>
      </c>
      <c r="H109" s="170">
        <v>0.4</v>
      </c>
      <c r="I109" s="170">
        <v>0.25</v>
      </c>
      <c r="J109" s="170">
        <v>2.4058284755446214E-6</v>
      </c>
      <c r="K109" s="170">
        <v>0.24325905801833808</v>
      </c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4.25" customHeight="1">
      <c r="A110" s="36"/>
      <c r="B110" s="67">
        <v>104.0</v>
      </c>
      <c r="C110" s="167"/>
      <c r="D110" s="168" t="s">
        <v>86</v>
      </c>
      <c r="E110" s="169" t="s">
        <v>87</v>
      </c>
      <c r="F110" s="170">
        <v>0.782703528596056</v>
      </c>
      <c r="G110" s="171">
        <v>2.0</v>
      </c>
      <c r="H110" s="180">
        <v>0.3333333333333333</v>
      </c>
      <c r="I110" s="180">
        <v>0.0</v>
      </c>
      <c r="J110" s="170">
        <v>0.3910670941570594</v>
      </c>
      <c r="K110" s="170">
        <v>0.21304796372285267</v>
      </c>
      <c r="L110" s="55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4.25" customHeight="1">
      <c r="A111" s="36"/>
      <c r="B111" s="67">
        <v>105.0</v>
      </c>
      <c r="C111" s="167"/>
      <c r="D111" s="168" t="s">
        <v>226</v>
      </c>
      <c r="E111" s="169" t="s">
        <v>227</v>
      </c>
      <c r="F111" s="170">
        <v>0.407365271254638</v>
      </c>
      <c r="G111" s="171">
        <v>3.0</v>
      </c>
      <c r="H111" s="170">
        <v>0.3333333333333333</v>
      </c>
      <c r="I111" s="170">
        <v>0.0</v>
      </c>
      <c r="J111" s="170">
        <v>0.0</v>
      </c>
      <c r="K111" s="181">
        <v>0.7248592031159534</v>
      </c>
      <c r="L111" s="55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4.25" customHeight="1">
      <c r="A112" s="36"/>
      <c r="B112" s="67">
        <v>106.0</v>
      </c>
      <c r="C112" s="167"/>
      <c r="D112" s="168" t="s">
        <v>90</v>
      </c>
      <c r="E112" s="169" t="s">
        <v>91</v>
      </c>
      <c r="F112" s="170">
        <v>0.9699966563302752</v>
      </c>
      <c r="G112" s="171">
        <v>3.0</v>
      </c>
      <c r="H112" s="181">
        <v>0.8333333333333334</v>
      </c>
      <c r="I112" s="181">
        <v>0.45454545454545453</v>
      </c>
      <c r="J112" s="170">
        <v>0.0</v>
      </c>
      <c r="K112" s="170">
        <v>0.2258890696943957</v>
      </c>
      <c r="L112" s="55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4.25" customHeight="1">
      <c r="A113" s="36"/>
      <c r="B113" s="67">
        <v>107.0</v>
      </c>
      <c r="C113" s="167"/>
      <c r="D113" s="168" t="s">
        <v>92</v>
      </c>
      <c r="E113" s="169" t="s">
        <v>93</v>
      </c>
      <c r="F113" s="170">
        <v>0.8494856887298747</v>
      </c>
      <c r="G113" s="171">
        <v>3.0</v>
      </c>
      <c r="H113" s="170">
        <v>0.4</v>
      </c>
      <c r="I113" s="170">
        <v>0.2</v>
      </c>
      <c r="J113" s="170">
        <v>2.4381335718545022E-4</v>
      </c>
      <c r="K113" s="170">
        <v>0.24305391463147372</v>
      </c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4.25" customHeight="1">
      <c r="A114" s="36"/>
      <c r="B114" s="67">
        <v>108.0</v>
      </c>
      <c r="C114" s="167"/>
      <c r="D114" s="168" t="s">
        <v>94</v>
      </c>
      <c r="E114" s="169" t="s">
        <v>95</v>
      </c>
      <c r="F114" s="170">
        <v>0.6429371816141938</v>
      </c>
      <c r="G114" s="171">
        <v>3.0</v>
      </c>
      <c r="H114" s="170">
        <v>0.5</v>
      </c>
      <c r="I114" s="170">
        <v>0.0</v>
      </c>
      <c r="J114" s="181">
        <v>0.6314601107258943</v>
      </c>
      <c r="K114" s="170">
        <v>0.2206974265236464</v>
      </c>
      <c r="L114" s="55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4.25" customHeight="1">
      <c r="A115" s="36"/>
      <c r="B115" s="67">
        <v>109.0</v>
      </c>
      <c r="C115" s="172">
        <v>2024.0</v>
      </c>
      <c r="D115" s="168" t="s">
        <v>15</v>
      </c>
      <c r="E115" s="169" t="s">
        <v>16</v>
      </c>
      <c r="F115" s="170">
        <v>0.7968471641377171</v>
      </c>
      <c r="G115" s="171">
        <v>3.0</v>
      </c>
      <c r="H115" s="170">
        <v>0.5</v>
      </c>
      <c r="I115" s="170">
        <v>0.14285714285714285</v>
      </c>
      <c r="J115" s="170">
        <v>0.0</v>
      </c>
      <c r="K115" s="170">
        <v>0.3048072552263216</v>
      </c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4.25" customHeight="1">
      <c r="A116" s="36"/>
      <c r="B116" s="67">
        <v>110.0</v>
      </c>
      <c r="C116" s="172"/>
      <c r="D116" s="168" t="s">
        <v>98</v>
      </c>
      <c r="E116" s="169" t="s">
        <v>99</v>
      </c>
      <c r="F116" s="170">
        <v>0.913544052112166</v>
      </c>
      <c r="G116" s="171">
        <v>3.0</v>
      </c>
      <c r="H116" s="170">
        <v>0.3333333333333333</v>
      </c>
      <c r="I116" s="170">
        <v>0.3333333333333333</v>
      </c>
      <c r="J116" s="170">
        <v>2.017302009436227E-5</v>
      </c>
      <c r="K116" s="170">
        <v>0.21020535307789998</v>
      </c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4.25" customHeight="1">
      <c r="A117" s="36"/>
      <c r="B117" s="67">
        <v>111.0</v>
      </c>
      <c r="C117" s="172"/>
      <c r="D117" s="168" t="s">
        <v>78</v>
      </c>
      <c r="E117" s="169" t="s">
        <v>79</v>
      </c>
      <c r="F117" s="170">
        <v>0.5318543306204202</v>
      </c>
      <c r="G117" s="171">
        <v>3.0</v>
      </c>
      <c r="H117" s="170">
        <v>0.5</v>
      </c>
      <c r="I117" s="170">
        <v>0.0</v>
      </c>
      <c r="J117" s="170">
        <v>0.013513823815494456</v>
      </c>
      <c r="K117" s="170">
        <v>0.19742409684498596</v>
      </c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4.25" customHeight="1">
      <c r="A118" s="36"/>
      <c r="B118" s="67">
        <v>112.0</v>
      </c>
      <c r="C118" s="172"/>
      <c r="D118" s="168" t="s">
        <v>104</v>
      </c>
      <c r="E118" s="169" t="s">
        <v>105</v>
      </c>
      <c r="F118" s="170">
        <v>0.8169222011373884</v>
      </c>
      <c r="G118" s="171">
        <v>3.0</v>
      </c>
      <c r="H118" s="180">
        <v>0.2857142857142857</v>
      </c>
      <c r="I118" s="170">
        <v>0.16666666666666666</v>
      </c>
      <c r="J118" s="170">
        <v>0.09867992188839282</v>
      </c>
      <c r="K118" s="181">
        <v>0.3765919101477513</v>
      </c>
      <c r="L118" s="55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4.25" customHeight="1">
      <c r="A119" s="36"/>
      <c r="B119" s="67">
        <v>113.0</v>
      </c>
      <c r="C119" s="172"/>
      <c r="D119" s="168" t="s">
        <v>18</v>
      </c>
      <c r="E119" s="169" t="s">
        <v>19</v>
      </c>
      <c r="F119" s="170">
        <v>0.6537283666666667</v>
      </c>
      <c r="G119" s="171">
        <v>3.0</v>
      </c>
      <c r="H119" s="170">
        <v>0.5</v>
      </c>
      <c r="I119" s="170">
        <v>0.0</v>
      </c>
      <c r="J119" s="170">
        <v>0.0010196333333333334</v>
      </c>
      <c r="K119" s="170">
        <v>0.2397650863903311</v>
      </c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4.25" customHeight="1">
      <c r="A120" s="36"/>
      <c r="B120" s="67">
        <v>114.0</v>
      </c>
      <c r="C120" s="172"/>
      <c r="D120" s="168" t="s">
        <v>108</v>
      </c>
      <c r="E120" s="169" t="s">
        <v>109</v>
      </c>
      <c r="F120" s="180">
        <v>0.009251384876805437</v>
      </c>
      <c r="G120" s="171">
        <v>3.0</v>
      </c>
      <c r="H120" s="170">
        <v>0.5</v>
      </c>
      <c r="I120" s="170">
        <v>0.0</v>
      </c>
      <c r="J120" s="170">
        <v>0.015204910790144435</v>
      </c>
      <c r="K120" s="170">
        <v>0.21999999999628408</v>
      </c>
      <c r="L120" s="55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4.25" customHeight="1">
      <c r="A121" s="36"/>
      <c r="B121" s="67">
        <v>115.0</v>
      </c>
      <c r="C121" s="172"/>
      <c r="D121" s="168" t="s">
        <v>222</v>
      </c>
      <c r="E121" s="169" t="s">
        <v>223</v>
      </c>
      <c r="F121" s="170">
        <v>0.8702033613445378</v>
      </c>
      <c r="G121" s="171">
        <v>3.0</v>
      </c>
      <c r="H121" s="170">
        <v>0.5</v>
      </c>
      <c r="I121" s="170">
        <v>0.3333333333333333</v>
      </c>
      <c r="J121" s="170">
        <v>0.0</v>
      </c>
      <c r="K121" s="170">
        <v>0.21273518039409076</v>
      </c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4.25" customHeight="1">
      <c r="A122" s="36"/>
      <c r="B122" s="67">
        <v>116.0</v>
      </c>
      <c r="C122" s="172"/>
      <c r="D122" s="168" t="s">
        <v>74</v>
      </c>
      <c r="E122" s="169" t="s">
        <v>75</v>
      </c>
      <c r="F122" s="170">
        <v>0.7688</v>
      </c>
      <c r="G122" s="171">
        <v>3.0</v>
      </c>
      <c r="H122" s="170">
        <v>0.3333333333333333</v>
      </c>
      <c r="I122" s="170">
        <v>0.2</v>
      </c>
      <c r="J122" s="170">
        <v>0.010477569391459904</v>
      </c>
      <c r="K122" s="170">
        <v>0.21628905877173715</v>
      </c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4.25" customHeight="1">
      <c r="A123" s="36"/>
      <c r="B123" s="67">
        <v>117.0</v>
      </c>
      <c r="C123" s="172"/>
      <c r="D123" s="168" t="s">
        <v>28</v>
      </c>
      <c r="E123" s="169" t="s">
        <v>29</v>
      </c>
      <c r="F123" s="182">
        <v>0.23710114430532386</v>
      </c>
      <c r="G123" s="171">
        <v>4.0</v>
      </c>
      <c r="H123" s="170">
        <v>0.3333333333333333</v>
      </c>
      <c r="I123" s="170">
        <v>0.0</v>
      </c>
      <c r="J123" s="181">
        <v>0.7508106120937661</v>
      </c>
      <c r="K123" s="170">
        <v>0.20231447843124079</v>
      </c>
      <c r="L123" s="55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4.25" customHeight="1">
      <c r="A124" s="36"/>
      <c r="B124" s="67">
        <v>118.0</v>
      </c>
      <c r="C124" s="172"/>
      <c r="D124" s="168" t="s">
        <v>24</v>
      </c>
      <c r="E124" s="169" t="s">
        <v>25</v>
      </c>
      <c r="F124" s="181">
        <v>0.9901454492621051</v>
      </c>
      <c r="G124" s="171">
        <v>3.0</v>
      </c>
      <c r="H124" s="170">
        <v>0.5</v>
      </c>
      <c r="I124" s="170">
        <v>0.16666666666666666</v>
      </c>
      <c r="J124" s="170">
        <v>0.0</v>
      </c>
      <c r="K124" s="170">
        <v>0.2938829842891099</v>
      </c>
      <c r="L124" s="55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4.25" customHeight="1">
      <c r="A125" s="36"/>
      <c r="B125" s="67">
        <v>119.0</v>
      </c>
      <c r="C125" s="172"/>
      <c r="D125" s="168" t="s">
        <v>110</v>
      </c>
      <c r="E125" s="169" t="s">
        <v>111</v>
      </c>
      <c r="F125" s="181">
        <v>0.9998094721166252</v>
      </c>
      <c r="G125" s="171">
        <v>3.0</v>
      </c>
      <c r="H125" s="170">
        <v>0.5</v>
      </c>
      <c r="I125" s="170">
        <v>0.0</v>
      </c>
      <c r="J125" s="170">
        <v>1.9052788337479195E-4</v>
      </c>
      <c r="K125" s="170">
        <v>0.28693926550211923</v>
      </c>
      <c r="L125" s="55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4.25" customHeight="1">
      <c r="A126" s="36"/>
      <c r="B126" s="67">
        <v>120.0</v>
      </c>
      <c r="C126" s="172"/>
      <c r="D126" s="168" t="s">
        <v>26</v>
      </c>
      <c r="E126" s="169" t="s">
        <v>27</v>
      </c>
      <c r="F126" s="170">
        <v>0.8689508907317073</v>
      </c>
      <c r="G126" s="171">
        <v>3.0</v>
      </c>
      <c r="H126" s="170">
        <v>0.3333333333333333</v>
      </c>
      <c r="I126" s="170">
        <v>0.0</v>
      </c>
      <c r="J126" s="170">
        <v>0.0</v>
      </c>
      <c r="K126" s="170">
        <v>0.2583171895021684</v>
      </c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4.25" customHeight="1">
      <c r="A127" s="36"/>
      <c r="B127" s="67">
        <v>121.0</v>
      </c>
      <c r="C127" s="172"/>
      <c r="D127" s="168" t="s">
        <v>30</v>
      </c>
      <c r="E127" s="169" t="s">
        <v>31</v>
      </c>
      <c r="F127" s="170">
        <v>0.6603960200037706</v>
      </c>
      <c r="G127" s="171">
        <v>3.0</v>
      </c>
      <c r="H127" s="170">
        <v>0.4</v>
      </c>
      <c r="I127" s="170">
        <v>0.0</v>
      </c>
      <c r="J127" s="170">
        <v>0.0</v>
      </c>
      <c r="K127" s="170">
        <v>0.2149887331979941</v>
      </c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4.25" customHeight="1">
      <c r="A128" s="36"/>
      <c r="B128" s="67">
        <v>122.0</v>
      </c>
      <c r="C128" s="172"/>
      <c r="D128" s="168" t="s">
        <v>120</v>
      </c>
      <c r="E128" s="169" t="s">
        <v>121</v>
      </c>
      <c r="F128" s="170">
        <v>0.27558938280646095</v>
      </c>
      <c r="G128" s="171">
        <v>3.0</v>
      </c>
      <c r="H128" s="170">
        <v>0.6666666666666666</v>
      </c>
      <c r="I128" s="170">
        <v>0.0</v>
      </c>
      <c r="J128" s="170">
        <v>0.34925683669155344</v>
      </c>
      <c r="K128" s="170">
        <v>0.2187819482985249</v>
      </c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4.25" customHeight="1">
      <c r="A129" s="36"/>
      <c r="B129" s="67">
        <v>123.0</v>
      </c>
      <c r="C129" s="172"/>
      <c r="D129" s="168" t="s">
        <v>118</v>
      </c>
      <c r="E129" s="169" t="s">
        <v>119</v>
      </c>
      <c r="F129" s="170">
        <v>0.6929469874438349</v>
      </c>
      <c r="G129" s="171">
        <v>3.0</v>
      </c>
      <c r="H129" s="170">
        <v>0.4</v>
      </c>
      <c r="I129" s="170">
        <v>0.25</v>
      </c>
      <c r="J129" s="170">
        <v>0.0</v>
      </c>
      <c r="K129" s="170">
        <v>0.21824733666703489</v>
      </c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4.25" customHeight="1">
      <c r="A130" s="36"/>
      <c r="B130" s="67">
        <v>124.0</v>
      </c>
      <c r="C130" s="172"/>
      <c r="D130" s="168" t="s">
        <v>32</v>
      </c>
      <c r="E130" s="169" t="s">
        <v>33</v>
      </c>
      <c r="F130" s="170">
        <v>0.7717414128723272</v>
      </c>
      <c r="G130" s="171">
        <v>3.0</v>
      </c>
      <c r="H130" s="170">
        <v>0.3333333333333333</v>
      </c>
      <c r="I130" s="170">
        <v>0.25</v>
      </c>
      <c r="J130" s="170">
        <v>0.14610453076170266</v>
      </c>
      <c r="K130" s="170">
        <v>0.30404642393732745</v>
      </c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4.25" customHeight="1">
      <c r="A131" s="36"/>
      <c r="B131" s="67">
        <v>125.0</v>
      </c>
      <c r="C131" s="172"/>
      <c r="D131" s="168" t="s">
        <v>126</v>
      </c>
      <c r="E131" s="169" t="s">
        <v>127</v>
      </c>
      <c r="F131" s="170">
        <v>0.9796233788912517</v>
      </c>
      <c r="G131" s="171">
        <v>3.0</v>
      </c>
      <c r="H131" s="170">
        <v>0.4</v>
      </c>
      <c r="I131" s="170">
        <v>0.25</v>
      </c>
      <c r="J131" s="170">
        <v>0.0017122496898812688</v>
      </c>
      <c r="K131" s="170">
        <v>0.2281642966086723</v>
      </c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4.25" customHeight="1">
      <c r="A132" s="36"/>
      <c r="B132" s="67">
        <v>126.0</v>
      </c>
      <c r="C132" s="172"/>
      <c r="D132" s="168" t="s">
        <v>134</v>
      </c>
      <c r="E132" s="169" t="s">
        <v>135</v>
      </c>
      <c r="F132" s="181">
        <v>0.9999600761754287</v>
      </c>
      <c r="G132" s="171">
        <v>3.0</v>
      </c>
      <c r="H132" s="170">
        <v>0.5</v>
      </c>
      <c r="I132" s="170">
        <v>0.0</v>
      </c>
      <c r="J132" s="170">
        <v>0.0</v>
      </c>
      <c r="K132" s="170">
        <v>0.26233438649412</v>
      </c>
      <c r="L132" s="55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4.25" customHeight="1">
      <c r="A133" s="36"/>
      <c r="B133" s="67">
        <v>127.0</v>
      </c>
      <c r="C133" s="172"/>
      <c r="D133" s="168" t="s">
        <v>234</v>
      </c>
      <c r="E133" s="169" t="s">
        <v>235</v>
      </c>
      <c r="F133" s="170">
        <v>0.8946377083333333</v>
      </c>
      <c r="G133" s="171">
        <v>3.0</v>
      </c>
      <c r="H133" s="170">
        <v>0.5</v>
      </c>
      <c r="I133" s="170">
        <v>0.3333333333333333</v>
      </c>
      <c r="J133" s="170">
        <v>0.0</v>
      </c>
      <c r="K133" s="170">
        <v>0.34087917820684327</v>
      </c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4.25" customHeight="1">
      <c r="A134" s="36"/>
      <c r="B134" s="67">
        <v>128.0</v>
      </c>
      <c r="C134" s="172"/>
      <c r="D134" s="168" t="s">
        <v>40</v>
      </c>
      <c r="E134" s="169" t="s">
        <v>41</v>
      </c>
      <c r="F134" s="170">
        <v>0.897</v>
      </c>
      <c r="G134" s="171">
        <v>3.0</v>
      </c>
      <c r="H134" s="170">
        <v>0.5</v>
      </c>
      <c r="I134" s="170">
        <v>0.0</v>
      </c>
      <c r="J134" s="170">
        <v>0.006728865831500431</v>
      </c>
      <c r="K134" s="170">
        <v>0.29970283187938485</v>
      </c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4.25" customHeight="1">
      <c r="A135" s="36"/>
      <c r="B135" s="67">
        <v>129.0</v>
      </c>
      <c r="C135" s="172"/>
      <c r="D135" s="168" t="s">
        <v>38</v>
      </c>
      <c r="E135" s="169" t="s">
        <v>39</v>
      </c>
      <c r="F135" s="170">
        <v>0.42233454181683083</v>
      </c>
      <c r="G135" s="171">
        <v>3.0</v>
      </c>
      <c r="H135" s="170">
        <v>0.3333333333333333</v>
      </c>
      <c r="I135" s="170">
        <v>0.0</v>
      </c>
      <c r="J135" s="170">
        <v>0.19727164616332515</v>
      </c>
      <c r="K135" s="170">
        <v>0.1998936554892899</v>
      </c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4.25" customHeight="1">
      <c r="A136" s="36"/>
      <c r="B136" s="67">
        <v>130.0</v>
      </c>
      <c r="C136" s="172"/>
      <c r="D136" s="168" t="s">
        <v>140</v>
      </c>
      <c r="E136" s="169" t="s">
        <v>141</v>
      </c>
      <c r="F136" s="170">
        <v>0.6488905833333334</v>
      </c>
      <c r="G136" s="171">
        <v>3.0</v>
      </c>
      <c r="H136" s="170">
        <v>0.3333333333333333</v>
      </c>
      <c r="I136" s="170">
        <v>0.0</v>
      </c>
      <c r="J136" s="170">
        <v>0.2667435166666667</v>
      </c>
      <c r="K136" s="170">
        <v>0.22923021822627854</v>
      </c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4.25" customHeight="1">
      <c r="A137" s="36"/>
      <c r="B137" s="67">
        <v>131.0</v>
      </c>
      <c r="C137" s="172"/>
      <c r="D137" s="168" t="s">
        <v>42</v>
      </c>
      <c r="E137" s="169" t="s">
        <v>43</v>
      </c>
      <c r="F137" s="170">
        <v>0.9504530037325608</v>
      </c>
      <c r="G137" s="171">
        <v>3.0</v>
      </c>
      <c r="H137" s="170">
        <v>0.5</v>
      </c>
      <c r="I137" s="170">
        <v>0.125</v>
      </c>
      <c r="J137" s="170">
        <v>0.0</v>
      </c>
      <c r="K137" s="170">
        <v>0.23485297590257548</v>
      </c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4.25" customHeight="1">
      <c r="A138" s="36"/>
      <c r="B138" s="67">
        <v>132.0</v>
      </c>
      <c r="C138" s="172"/>
      <c r="D138" s="168" t="s">
        <v>44</v>
      </c>
      <c r="E138" s="169" t="s">
        <v>45</v>
      </c>
      <c r="F138" s="170">
        <v>0.8053294538080733</v>
      </c>
      <c r="G138" s="171">
        <v>3.0</v>
      </c>
      <c r="H138" s="170">
        <v>0.5</v>
      </c>
      <c r="I138" s="170">
        <v>0.0</v>
      </c>
      <c r="J138" s="170">
        <v>0.0</v>
      </c>
      <c r="K138" s="170">
        <v>0.23357520524878955</v>
      </c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4.25" customHeight="1">
      <c r="A139" s="36"/>
      <c r="B139" s="67">
        <v>133.0</v>
      </c>
      <c r="C139" s="172"/>
      <c r="D139" s="168" t="s">
        <v>46</v>
      </c>
      <c r="E139" s="169" t="s">
        <v>47</v>
      </c>
      <c r="F139" s="170">
        <v>0.965200000022778</v>
      </c>
      <c r="G139" s="171">
        <v>3.0</v>
      </c>
      <c r="H139" s="170">
        <v>0.375</v>
      </c>
      <c r="I139" s="170">
        <v>0.10526315789473684</v>
      </c>
      <c r="J139" s="170">
        <v>1.571700417969446E-4</v>
      </c>
      <c r="K139" s="170">
        <v>0.23253149600153336</v>
      </c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4.25" customHeight="1">
      <c r="A140" s="36"/>
      <c r="B140" s="67">
        <v>134.0</v>
      </c>
      <c r="C140" s="172"/>
      <c r="D140" s="168" t="s">
        <v>150</v>
      </c>
      <c r="E140" s="169" t="s">
        <v>151</v>
      </c>
      <c r="F140" s="180">
        <v>0.07015902712815715</v>
      </c>
      <c r="G140" s="171">
        <v>3.0</v>
      </c>
      <c r="H140" s="170">
        <v>0.5</v>
      </c>
      <c r="I140" s="170">
        <v>0.25</v>
      </c>
      <c r="J140" s="181">
        <v>0.6766732927970065</v>
      </c>
      <c r="K140" s="170">
        <v>0.27713527322252823</v>
      </c>
      <c r="L140" s="55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4.25" customHeight="1">
      <c r="A141" s="36"/>
      <c r="B141" s="67">
        <v>135.0</v>
      </c>
      <c r="C141" s="172"/>
      <c r="D141" s="168" t="s">
        <v>48</v>
      </c>
      <c r="E141" s="169" t="s">
        <v>49</v>
      </c>
      <c r="F141" s="170">
        <v>0.9320082820146833</v>
      </c>
      <c r="G141" s="171">
        <v>3.0</v>
      </c>
      <c r="H141" s="170">
        <v>0.5</v>
      </c>
      <c r="I141" s="170">
        <v>0.0</v>
      </c>
      <c r="J141" s="170">
        <v>2.1245759800248774E-4</v>
      </c>
      <c r="K141" s="170">
        <v>0.24263604710817377</v>
      </c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4.25" customHeight="1">
      <c r="A142" s="36"/>
      <c r="B142" s="67">
        <v>136.0</v>
      </c>
      <c r="C142" s="172"/>
      <c r="D142" s="168" t="s">
        <v>178</v>
      </c>
      <c r="E142" s="169" t="s">
        <v>179</v>
      </c>
      <c r="F142" s="170">
        <v>0.9063164666666667</v>
      </c>
      <c r="G142" s="171">
        <v>3.0</v>
      </c>
      <c r="H142" s="170">
        <v>0.3333333333333333</v>
      </c>
      <c r="I142" s="180">
        <v>0.0</v>
      </c>
      <c r="J142" s="170">
        <v>0.005294933333333333</v>
      </c>
      <c r="K142" s="170">
        <v>0.21030452379418688</v>
      </c>
      <c r="L142" s="55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4.25" customHeight="1">
      <c r="A143" s="36"/>
      <c r="B143" s="67">
        <v>137.0</v>
      </c>
      <c r="C143" s="172"/>
      <c r="D143" s="168" t="s">
        <v>162</v>
      </c>
      <c r="E143" s="169" t="s">
        <v>163</v>
      </c>
      <c r="F143" s="170">
        <v>0.76190476375</v>
      </c>
      <c r="G143" s="171">
        <v>3.0</v>
      </c>
      <c r="H143" s="170">
        <v>0.3333333333333333</v>
      </c>
      <c r="I143" s="170">
        <v>0.2</v>
      </c>
      <c r="J143" s="170">
        <v>0.02803175875</v>
      </c>
      <c r="K143" s="170">
        <v>0.2102816829532586</v>
      </c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4.25" customHeight="1">
      <c r="A144" s="36"/>
      <c r="B144" s="67">
        <v>138.0</v>
      </c>
      <c r="C144" s="172"/>
      <c r="D144" s="168" t="s">
        <v>68</v>
      </c>
      <c r="E144" s="169" t="s">
        <v>69</v>
      </c>
      <c r="F144" s="170">
        <v>0.5961901457055573</v>
      </c>
      <c r="G144" s="171">
        <v>3.0</v>
      </c>
      <c r="H144" s="170">
        <v>0.4</v>
      </c>
      <c r="I144" s="170">
        <v>0.2222222222222222</v>
      </c>
      <c r="J144" s="170">
        <v>3.108520823394116E-5</v>
      </c>
      <c r="K144" s="180">
        <v>0.16773271864969633</v>
      </c>
      <c r="L144" s="55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4.25" customHeight="1">
      <c r="A145" s="36"/>
      <c r="B145" s="67">
        <v>139.0</v>
      </c>
      <c r="C145" s="172"/>
      <c r="D145" s="168" t="s">
        <v>52</v>
      </c>
      <c r="E145" s="169" t="s">
        <v>53</v>
      </c>
      <c r="F145" s="170">
        <v>0.572704921049693</v>
      </c>
      <c r="G145" s="171">
        <v>3.0</v>
      </c>
      <c r="H145" s="170">
        <v>0.6</v>
      </c>
      <c r="I145" s="170">
        <v>0.0</v>
      </c>
      <c r="J145" s="170">
        <v>0.0036022780569514236</v>
      </c>
      <c r="K145" s="170">
        <v>0.23537341113667312</v>
      </c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4.25" customHeight="1">
      <c r="A146" s="36"/>
      <c r="B146" s="67">
        <v>140.0</v>
      </c>
      <c r="C146" s="172"/>
      <c r="D146" s="168" t="s">
        <v>58</v>
      </c>
      <c r="E146" s="169" t="s">
        <v>59</v>
      </c>
      <c r="F146" s="170">
        <v>0.9601259036304355</v>
      </c>
      <c r="G146" s="171">
        <v>3.0</v>
      </c>
      <c r="H146" s="170">
        <v>0.6666666666666666</v>
      </c>
      <c r="I146" s="170">
        <v>0.4</v>
      </c>
      <c r="J146" s="170">
        <v>0.006713265169117038</v>
      </c>
      <c r="K146" s="170">
        <v>0.2775405415669743</v>
      </c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4.25" customHeight="1">
      <c r="A147" s="36"/>
      <c r="B147" s="67">
        <v>141.0</v>
      </c>
      <c r="C147" s="172"/>
      <c r="D147" s="168" t="s">
        <v>60</v>
      </c>
      <c r="E147" s="169" t="s">
        <v>61</v>
      </c>
      <c r="F147" s="170">
        <v>0.8931898433792121</v>
      </c>
      <c r="G147" s="171">
        <v>3.0</v>
      </c>
      <c r="H147" s="170">
        <v>0.4</v>
      </c>
      <c r="I147" s="181">
        <v>0.5</v>
      </c>
      <c r="J147" s="170">
        <v>0.0</v>
      </c>
      <c r="K147" s="170">
        <v>0.21111467176454013</v>
      </c>
      <c r="L147" s="55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4.25" customHeight="1">
      <c r="A148" s="36"/>
      <c r="B148" s="67">
        <v>142.0</v>
      </c>
      <c r="C148" s="172"/>
      <c r="D148" s="168" t="s">
        <v>62</v>
      </c>
      <c r="E148" s="169" t="s">
        <v>63</v>
      </c>
      <c r="F148" s="170">
        <v>0.5856202741604056</v>
      </c>
      <c r="G148" s="171">
        <v>3.0</v>
      </c>
      <c r="H148" s="170">
        <v>0.3333333333333333</v>
      </c>
      <c r="I148" s="170">
        <v>0.0</v>
      </c>
      <c r="J148" s="170">
        <v>0.003047330517673179</v>
      </c>
      <c r="K148" s="181">
        <v>0.4305956615969822</v>
      </c>
      <c r="L148" s="55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4.25" customHeight="1">
      <c r="A149" s="36"/>
      <c r="B149" s="67">
        <v>143.0</v>
      </c>
      <c r="C149" s="172"/>
      <c r="D149" s="168" t="s">
        <v>54</v>
      </c>
      <c r="E149" s="169" t="s">
        <v>55</v>
      </c>
      <c r="F149" s="170">
        <v>0.5907083858831151</v>
      </c>
      <c r="G149" s="171">
        <v>3.0</v>
      </c>
      <c r="H149" s="170">
        <v>0.4</v>
      </c>
      <c r="I149" s="170">
        <v>0.0</v>
      </c>
      <c r="J149" s="170">
        <v>0.25263181980498645</v>
      </c>
      <c r="K149" s="170">
        <v>0.20958696556491668</v>
      </c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4.25" customHeight="1">
      <c r="A150" s="36"/>
      <c r="B150" s="67">
        <v>144.0</v>
      </c>
      <c r="C150" s="172"/>
      <c r="D150" s="168" t="s">
        <v>190</v>
      </c>
      <c r="E150" s="169" t="s">
        <v>191</v>
      </c>
      <c r="F150" s="170">
        <v>0.881402090575309</v>
      </c>
      <c r="G150" s="171">
        <v>3.0</v>
      </c>
      <c r="H150" s="170">
        <v>0.5</v>
      </c>
      <c r="I150" s="170">
        <v>0.0</v>
      </c>
      <c r="J150" s="170">
        <v>2.7536451943803564E-6</v>
      </c>
      <c r="K150" s="170">
        <v>0.2223652192809251</v>
      </c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4.25" customHeight="1">
      <c r="A151" s="36"/>
      <c r="B151" s="67">
        <v>145.0</v>
      </c>
      <c r="C151" s="172"/>
      <c r="D151" s="168" t="s">
        <v>64</v>
      </c>
      <c r="E151" s="169" t="s">
        <v>65</v>
      </c>
      <c r="F151" s="170">
        <v>0.8827796923076923</v>
      </c>
      <c r="G151" s="171">
        <v>3.0</v>
      </c>
      <c r="H151" s="170">
        <v>0.6666666666666666</v>
      </c>
      <c r="I151" s="181">
        <v>0.42857142857142855</v>
      </c>
      <c r="J151" s="170">
        <v>0.08488063660477453</v>
      </c>
      <c r="K151" s="170">
        <v>0.20150141002321187</v>
      </c>
      <c r="L151" s="55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4.25" customHeight="1">
      <c r="A152" s="36"/>
      <c r="B152" s="67">
        <v>146.0</v>
      </c>
      <c r="C152" s="172"/>
      <c r="D152" s="168" t="s">
        <v>184</v>
      </c>
      <c r="E152" s="169" t="s">
        <v>185</v>
      </c>
      <c r="F152" s="170">
        <v>0.9863315740914008</v>
      </c>
      <c r="G152" s="171">
        <v>3.0</v>
      </c>
      <c r="H152" s="170">
        <v>0.3333333333333333</v>
      </c>
      <c r="I152" s="181">
        <v>0.6</v>
      </c>
      <c r="J152" s="180">
        <v>0.0</v>
      </c>
      <c r="K152" s="170">
        <v>0.22763713994434323</v>
      </c>
      <c r="L152" s="55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4.25" customHeight="1">
      <c r="A153" s="36"/>
      <c r="B153" s="67">
        <v>147.0</v>
      </c>
      <c r="C153" s="172"/>
      <c r="D153" s="168" t="s">
        <v>176</v>
      </c>
      <c r="E153" s="169" t="s">
        <v>177</v>
      </c>
      <c r="F153" s="170">
        <v>0.8837357802197802</v>
      </c>
      <c r="G153" s="171">
        <v>4.0</v>
      </c>
      <c r="H153" s="170">
        <v>0.6</v>
      </c>
      <c r="I153" s="170">
        <v>0.0</v>
      </c>
      <c r="J153" s="170">
        <v>0.0</v>
      </c>
      <c r="K153" s="181">
        <v>0.3894102247481861</v>
      </c>
      <c r="L153" s="55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4.25" customHeight="1">
      <c r="A154" s="36"/>
      <c r="B154" s="67">
        <v>148.0</v>
      </c>
      <c r="C154" s="172"/>
      <c r="D154" s="168" t="s">
        <v>72</v>
      </c>
      <c r="E154" s="169" t="s">
        <v>73</v>
      </c>
      <c r="F154" s="170">
        <v>0.9500415699359185</v>
      </c>
      <c r="G154" s="171">
        <v>3.0</v>
      </c>
      <c r="H154" s="170">
        <v>0.6666666666666666</v>
      </c>
      <c r="I154" s="170">
        <v>0.0</v>
      </c>
      <c r="J154" s="170">
        <v>0.0</v>
      </c>
      <c r="K154" s="170">
        <v>0.34705042571416533</v>
      </c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4.25" customHeight="1">
      <c r="A155" s="36"/>
      <c r="B155" s="67">
        <v>149.0</v>
      </c>
      <c r="C155" s="172"/>
      <c r="D155" s="168" t="s">
        <v>70</v>
      </c>
      <c r="E155" s="169" t="s">
        <v>71</v>
      </c>
      <c r="F155" s="170">
        <v>0.8736</v>
      </c>
      <c r="G155" s="171">
        <v>3.0</v>
      </c>
      <c r="H155" s="170">
        <v>0.3333333333333333</v>
      </c>
      <c r="I155" s="170">
        <v>0.09090909090909091</v>
      </c>
      <c r="J155" s="170">
        <v>5.93498226924047E-5</v>
      </c>
      <c r="K155" s="170">
        <v>0.26848444811303057</v>
      </c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4.25" customHeight="1">
      <c r="A156" s="36"/>
      <c r="B156" s="67">
        <v>150.0</v>
      </c>
      <c r="C156" s="172"/>
      <c r="D156" s="168" t="s">
        <v>202</v>
      </c>
      <c r="E156" s="169" t="s">
        <v>203</v>
      </c>
      <c r="F156" s="170">
        <v>0.9813431382697265</v>
      </c>
      <c r="G156" s="171">
        <v>3.0</v>
      </c>
      <c r="H156" s="170">
        <v>0.3333333333333333</v>
      </c>
      <c r="I156" s="170">
        <v>0.2</v>
      </c>
      <c r="J156" s="170">
        <v>0.005407951321806091</v>
      </c>
      <c r="K156" s="170">
        <v>0.22552218336403473</v>
      </c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4.25" customHeight="1">
      <c r="A157" s="36"/>
      <c r="B157" s="67">
        <v>151.0</v>
      </c>
      <c r="C157" s="172"/>
      <c r="D157" s="168" t="s">
        <v>206</v>
      </c>
      <c r="E157" s="169" t="s">
        <v>207</v>
      </c>
      <c r="F157" s="170">
        <v>0.9239968319737425</v>
      </c>
      <c r="G157" s="171">
        <v>3.0</v>
      </c>
      <c r="H157" s="170">
        <v>0.42857142857142855</v>
      </c>
      <c r="I157" s="170">
        <v>0.16666666666666666</v>
      </c>
      <c r="J157" s="170">
        <v>0.0</v>
      </c>
      <c r="K157" s="170">
        <v>0.193745971155047</v>
      </c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4.25" customHeight="1">
      <c r="A158" s="36"/>
      <c r="B158" s="67">
        <v>152.0</v>
      </c>
      <c r="C158" s="172"/>
      <c r="D158" s="168" t="s">
        <v>76</v>
      </c>
      <c r="E158" s="169" t="s">
        <v>77</v>
      </c>
      <c r="F158" s="170">
        <v>0.7035304818897637</v>
      </c>
      <c r="G158" s="171">
        <v>3.0</v>
      </c>
      <c r="H158" s="170">
        <v>0.3333333333333333</v>
      </c>
      <c r="I158" s="170">
        <v>0.0</v>
      </c>
      <c r="J158" s="170">
        <v>0.0</v>
      </c>
      <c r="K158" s="170">
        <v>0.3110764955576696</v>
      </c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4.25" customHeight="1">
      <c r="A159" s="36"/>
      <c r="B159" s="67">
        <v>153.0</v>
      </c>
      <c r="C159" s="172"/>
      <c r="D159" s="168" t="s">
        <v>204</v>
      </c>
      <c r="E159" s="169" t="s">
        <v>205</v>
      </c>
      <c r="F159" s="170">
        <v>0.6353431297709924</v>
      </c>
      <c r="G159" s="171">
        <v>3.0</v>
      </c>
      <c r="H159" s="170">
        <v>0.5</v>
      </c>
      <c r="I159" s="170">
        <v>0.0</v>
      </c>
      <c r="J159" s="170">
        <v>0.03187083969465649</v>
      </c>
      <c r="K159" s="180">
        <v>0.12895110587102332</v>
      </c>
      <c r="L159" s="55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4.25" customHeight="1">
      <c r="A160" s="36"/>
      <c r="B160" s="67">
        <v>154.0</v>
      </c>
      <c r="C160" s="172"/>
      <c r="D160" s="168" t="s">
        <v>82</v>
      </c>
      <c r="E160" s="169" t="s">
        <v>83</v>
      </c>
      <c r="F160" s="170">
        <v>0.8309791861394058</v>
      </c>
      <c r="G160" s="171">
        <v>3.0</v>
      </c>
      <c r="H160" s="170">
        <v>0.42857142857142855</v>
      </c>
      <c r="I160" s="170">
        <v>0.2</v>
      </c>
      <c r="J160" s="170">
        <v>0.008468457940394528</v>
      </c>
      <c r="K160" s="180">
        <v>0.17476999692378525</v>
      </c>
      <c r="L160" s="55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4.25" customHeight="1">
      <c r="A161" s="36"/>
      <c r="B161" s="67">
        <v>155.0</v>
      </c>
      <c r="C161" s="172"/>
      <c r="D161" s="168" t="s">
        <v>84</v>
      </c>
      <c r="E161" s="169" t="s">
        <v>85</v>
      </c>
      <c r="F161" s="170">
        <v>0.5941960688506857</v>
      </c>
      <c r="G161" s="171">
        <v>3.0</v>
      </c>
      <c r="H161" s="170">
        <v>0.3333333333333333</v>
      </c>
      <c r="I161" s="170">
        <v>0.0</v>
      </c>
      <c r="J161" s="170">
        <v>0.0</v>
      </c>
      <c r="K161" s="170">
        <v>0.22450108411876632</v>
      </c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4.25" customHeight="1">
      <c r="A162" s="36"/>
      <c r="B162" s="67">
        <v>156.0</v>
      </c>
      <c r="C162" s="172"/>
      <c r="D162" s="168" t="s">
        <v>212</v>
      </c>
      <c r="E162" s="169" t="s">
        <v>213</v>
      </c>
      <c r="F162" s="182">
        <v>0.976861010372425</v>
      </c>
      <c r="G162" s="171">
        <v>3.0</v>
      </c>
      <c r="H162" s="170">
        <v>0.4</v>
      </c>
      <c r="I162" s="170">
        <v>0.3333333333333333</v>
      </c>
      <c r="J162" s="170">
        <v>0.002897409914231767</v>
      </c>
      <c r="K162" s="170">
        <v>0.18475697708340086</v>
      </c>
      <c r="L162" s="55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4.25" customHeight="1">
      <c r="A163" s="36"/>
      <c r="B163" s="67">
        <v>157.0</v>
      </c>
      <c r="C163" s="172"/>
      <c r="D163" s="168" t="s">
        <v>88</v>
      </c>
      <c r="E163" s="169" t="s">
        <v>89</v>
      </c>
      <c r="F163" s="170">
        <v>0.8000000144349708</v>
      </c>
      <c r="G163" s="171">
        <v>3.0</v>
      </c>
      <c r="H163" s="170">
        <v>0.4</v>
      </c>
      <c r="I163" s="170">
        <v>0.25</v>
      </c>
      <c r="J163" s="170">
        <v>8.646547541107369E-5</v>
      </c>
      <c r="K163" s="170">
        <v>0.24086008461340166</v>
      </c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4.25" customHeight="1">
      <c r="A164" s="36"/>
      <c r="B164" s="67">
        <v>158.0</v>
      </c>
      <c r="C164" s="172"/>
      <c r="D164" s="168" t="s">
        <v>86</v>
      </c>
      <c r="E164" s="169" t="s">
        <v>87</v>
      </c>
      <c r="F164" s="170">
        <v>0.7827771280483906</v>
      </c>
      <c r="G164" s="171">
        <v>3.0</v>
      </c>
      <c r="H164" s="170">
        <v>0.5</v>
      </c>
      <c r="I164" s="170">
        <v>0.0</v>
      </c>
      <c r="J164" s="170">
        <v>0.5450138462756426</v>
      </c>
      <c r="K164" s="170">
        <v>0.23427715212649547</v>
      </c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4.25" customHeight="1">
      <c r="A165" s="36"/>
      <c r="B165" s="67">
        <v>159.0</v>
      </c>
      <c r="C165" s="172"/>
      <c r="D165" s="168" t="s">
        <v>226</v>
      </c>
      <c r="E165" s="169" t="s">
        <v>227</v>
      </c>
      <c r="F165" s="170">
        <v>0.4410805632868135</v>
      </c>
      <c r="G165" s="171">
        <v>3.0</v>
      </c>
      <c r="H165" s="170">
        <v>0.3333333333333333</v>
      </c>
      <c r="I165" s="170">
        <v>0.0</v>
      </c>
      <c r="J165" s="170">
        <v>0.0</v>
      </c>
      <c r="K165" s="181">
        <v>0.5044244945728579</v>
      </c>
      <c r="L165" s="55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4.25" customHeight="1">
      <c r="A166" s="36"/>
      <c r="B166" s="67">
        <v>160.0</v>
      </c>
      <c r="C166" s="172"/>
      <c r="D166" s="168" t="s">
        <v>90</v>
      </c>
      <c r="E166" s="169" t="s">
        <v>91</v>
      </c>
      <c r="F166" s="170">
        <v>0.9599087347313238</v>
      </c>
      <c r="G166" s="171">
        <v>3.0</v>
      </c>
      <c r="H166" s="181">
        <v>0.8333333333333334</v>
      </c>
      <c r="I166" s="170">
        <v>0.3333333333333333</v>
      </c>
      <c r="J166" s="170">
        <v>0.0</v>
      </c>
      <c r="K166" s="170">
        <v>0.22566329166996135</v>
      </c>
      <c r="L166" s="55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4.25" customHeight="1">
      <c r="A167" s="36"/>
      <c r="B167" s="67">
        <v>161.0</v>
      </c>
      <c r="C167" s="172"/>
      <c r="D167" s="168" t="s">
        <v>92</v>
      </c>
      <c r="E167" s="169" t="s">
        <v>93</v>
      </c>
      <c r="F167" s="170">
        <v>0.8494856887298747</v>
      </c>
      <c r="G167" s="171">
        <v>3.0</v>
      </c>
      <c r="H167" s="170">
        <v>0.4</v>
      </c>
      <c r="I167" s="170">
        <v>0.2</v>
      </c>
      <c r="J167" s="170">
        <v>0.0032253279666070362</v>
      </c>
      <c r="K167" s="170">
        <v>0.2248850341218782</v>
      </c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4.25" customHeight="1">
      <c r="A168" s="36"/>
      <c r="B168" s="67">
        <v>162.0</v>
      </c>
      <c r="C168" s="172"/>
      <c r="D168" s="168" t="s">
        <v>94</v>
      </c>
      <c r="E168" s="169" t="s">
        <v>95</v>
      </c>
      <c r="F168" s="170">
        <v>0.6316000000876243</v>
      </c>
      <c r="G168" s="171">
        <v>3.0</v>
      </c>
      <c r="H168" s="170">
        <v>0.5</v>
      </c>
      <c r="I168" s="170">
        <v>0.0</v>
      </c>
      <c r="J168" s="181">
        <v>0.6319154914341136</v>
      </c>
      <c r="K168" s="170">
        <v>0.20709915457815176</v>
      </c>
      <c r="L168" s="55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4.25" customHeight="1">
      <c r="A169" s="147"/>
      <c r="B169" s="148"/>
      <c r="C169" s="149"/>
      <c r="D169" s="150"/>
      <c r="E169" s="150"/>
      <c r="F169" s="151"/>
      <c r="G169" s="152"/>
      <c r="H169" s="152"/>
      <c r="I169" s="152"/>
      <c r="J169" s="152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ht="14.25" customHeight="1">
      <c r="A170" s="147"/>
      <c r="B170" s="148"/>
      <c r="C170" s="149"/>
      <c r="D170" s="150"/>
      <c r="E170" s="150" t="s">
        <v>349</v>
      </c>
      <c r="F170" s="151" t="str">
        <f t="shared" ref="F170:K170" si="1">MIN(F7:F169)</f>
        <v>0.0019</v>
      </c>
      <c r="G170" s="152" t="str">
        <f t="shared" si="1"/>
        <v>2.00000</v>
      </c>
      <c r="H170" s="152" t="str">
        <f t="shared" si="1"/>
        <v>0.28571</v>
      </c>
      <c r="I170" s="152" t="str">
        <f t="shared" si="1"/>
        <v>0.00000</v>
      </c>
      <c r="J170" s="152" t="str">
        <f t="shared" si="1"/>
        <v>0.00000</v>
      </c>
      <c r="K170" s="173" t="str">
        <f t="shared" si="1"/>
        <v>0.01744</v>
      </c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ht="14.25" customHeight="1">
      <c r="A171" s="147"/>
      <c r="B171" s="148"/>
      <c r="C171" s="149"/>
      <c r="D171" s="150"/>
      <c r="E171" s="150" t="s">
        <v>350</v>
      </c>
      <c r="F171" s="151" t="str">
        <f t="shared" ref="F171:K171" si="2">AVERAGE(F7:F170)</f>
        <v>0.7487</v>
      </c>
      <c r="G171" s="152" t="str">
        <f t="shared" si="2"/>
        <v>3.00000</v>
      </c>
      <c r="H171" s="152" t="str">
        <f t="shared" si="2"/>
        <v>0.44273</v>
      </c>
      <c r="I171" s="152" t="str">
        <f t="shared" si="2"/>
        <v>0.12459</v>
      </c>
      <c r="J171" s="152" t="str">
        <f t="shared" si="2"/>
        <v>0.07323</v>
      </c>
      <c r="K171" s="173" t="str">
        <f t="shared" si="2"/>
        <v>0.25377</v>
      </c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ht="14.25" customHeight="1">
      <c r="A172" s="147"/>
      <c r="B172" s="148"/>
      <c r="C172" s="149"/>
      <c r="D172" s="150"/>
      <c r="E172" s="150" t="s">
        <v>351</v>
      </c>
      <c r="F172" s="151" t="str">
        <f t="shared" ref="F172:K172" si="3">MAX(F7:F171)</f>
        <v>1.0000</v>
      </c>
      <c r="G172" s="152" t="str">
        <f t="shared" si="3"/>
        <v>4.00000</v>
      </c>
      <c r="H172" s="152" t="str">
        <f t="shared" si="3"/>
        <v>0.83333</v>
      </c>
      <c r="I172" s="152" t="str">
        <f t="shared" si="3"/>
        <v>0.60000</v>
      </c>
      <c r="J172" s="152" t="str">
        <f t="shared" si="3"/>
        <v>0.76505</v>
      </c>
      <c r="K172" s="173" t="str">
        <f t="shared" si="3"/>
        <v>1.66697</v>
      </c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ht="14.25" customHeight="1">
      <c r="A173" s="147"/>
      <c r="B173" s="148"/>
      <c r="C173" s="149"/>
      <c r="D173" s="150"/>
      <c r="E173" s="150"/>
      <c r="F173" s="151"/>
      <c r="G173" s="152"/>
      <c r="H173" s="152"/>
      <c r="I173" s="152"/>
      <c r="J173" s="152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ht="14.25" customHeight="1">
      <c r="A174" s="147"/>
      <c r="B174" s="148"/>
      <c r="C174" s="149"/>
      <c r="D174" s="150"/>
      <c r="E174" s="150"/>
      <c r="F174" s="151"/>
      <c r="G174" s="152"/>
      <c r="H174" s="152"/>
      <c r="I174" s="152"/>
      <c r="J174" s="152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ht="14.25" customHeight="1">
      <c r="A175" s="147"/>
      <c r="B175" s="148"/>
      <c r="C175" s="149"/>
      <c r="D175" s="150"/>
      <c r="E175" s="150"/>
      <c r="F175" s="151"/>
      <c r="G175" s="152"/>
      <c r="H175" s="152"/>
      <c r="I175" s="152"/>
      <c r="J175" s="152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ht="14.25" customHeight="1">
      <c r="A176" s="147"/>
      <c r="B176" s="148"/>
      <c r="C176" s="149"/>
      <c r="D176" s="150"/>
      <c r="E176" s="150"/>
      <c r="F176" s="151"/>
      <c r="G176" s="152"/>
      <c r="H176" s="152"/>
      <c r="I176" s="152"/>
      <c r="J176" s="152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ht="14.25" customHeight="1">
      <c r="A177" s="147"/>
      <c r="B177" s="148"/>
      <c r="C177" s="149"/>
      <c r="D177" s="150"/>
      <c r="E177" s="150"/>
      <c r="F177" s="151"/>
      <c r="G177" s="152"/>
      <c r="H177" s="152"/>
      <c r="I177" s="152"/>
      <c r="J177" s="152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ht="14.25" customHeight="1">
      <c r="A178" s="147"/>
      <c r="B178" s="148"/>
      <c r="C178" s="149"/>
      <c r="D178" s="150"/>
      <c r="E178" s="150"/>
      <c r="F178" s="151"/>
      <c r="G178" s="152"/>
      <c r="H178" s="152"/>
      <c r="I178" s="152"/>
      <c r="J178" s="152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ht="14.25" customHeight="1">
      <c r="A179" s="147"/>
      <c r="B179" s="148"/>
      <c r="C179" s="149"/>
      <c r="D179" s="150"/>
      <c r="E179" s="150"/>
      <c r="F179" s="151"/>
      <c r="G179" s="152"/>
      <c r="H179" s="152"/>
      <c r="I179" s="152"/>
      <c r="J179" s="152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ht="14.25" customHeight="1">
      <c r="A180" s="147"/>
      <c r="B180" s="148"/>
      <c r="C180" s="149"/>
      <c r="D180" s="150"/>
      <c r="E180" s="150"/>
      <c r="F180" s="151"/>
      <c r="G180" s="152"/>
      <c r="H180" s="152"/>
      <c r="I180" s="152"/>
      <c r="J180" s="152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ht="14.25" customHeight="1">
      <c r="A181" s="147"/>
      <c r="B181" s="148"/>
      <c r="C181" s="149"/>
      <c r="D181" s="150"/>
      <c r="E181" s="150"/>
      <c r="F181" s="151"/>
      <c r="G181" s="152"/>
      <c r="H181" s="152"/>
      <c r="I181" s="152"/>
      <c r="J181" s="152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ht="14.25" customHeight="1">
      <c r="A182" s="147"/>
      <c r="B182" s="148"/>
      <c r="C182" s="149"/>
      <c r="D182" s="150"/>
      <c r="E182" s="150"/>
      <c r="F182" s="151"/>
      <c r="G182" s="152"/>
      <c r="H182" s="152"/>
      <c r="I182" s="152"/>
      <c r="J182" s="152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ht="14.25" customHeight="1">
      <c r="A183" s="147"/>
      <c r="B183" s="148"/>
      <c r="C183" s="149"/>
      <c r="D183" s="150"/>
      <c r="E183" s="150"/>
      <c r="F183" s="151"/>
      <c r="G183" s="152"/>
      <c r="H183" s="152"/>
      <c r="I183" s="152"/>
      <c r="J183" s="152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ht="14.25" customHeight="1">
      <c r="A184" s="147"/>
      <c r="B184" s="148"/>
      <c r="C184" s="149"/>
      <c r="D184" s="150"/>
      <c r="E184" s="150"/>
      <c r="F184" s="151"/>
      <c r="G184" s="152"/>
      <c r="H184" s="152"/>
      <c r="I184" s="152"/>
      <c r="J184" s="152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ht="14.25" customHeight="1">
      <c r="A185" s="147"/>
      <c r="B185" s="148"/>
      <c r="C185" s="149"/>
      <c r="D185" s="150"/>
      <c r="E185" s="150"/>
      <c r="F185" s="151"/>
      <c r="G185" s="152"/>
      <c r="H185" s="152"/>
      <c r="I185" s="152"/>
      <c r="J185" s="152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ht="14.25" customHeight="1">
      <c r="A186" s="147"/>
      <c r="B186" s="148"/>
      <c r="C186" s="149"/>
      <c r="D186" s="150"/>
      <c r="E186" s="150"/>
      <c r="F186" s="151"/>
      <c r="G186" s="152"/>
      <c r="H186" s="152"/>
      <c r="I186" s="152"/>
      <c r="J186" s="152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ht="14.25" customHeight="1">
      <c r="A187" s="147"/>
      <c r="B187" s="148"/>
      <c r="C187" s="149"/>
      <c r="D187" s="150"/>
      <c r="E187" s="150"/>
      <c r="F187" s="151"/>
      <c r="G187" s="152"/>
      <c r="H187" s="152"/>
      <c r="I187" s="152"/>
      <c r="J187" s="152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ht="14.25" customHeight="1">
      <c r="A188" s="147"/>
      <c r="B188" s="148"/>
      <c r="C188" s="149"/>
      <c r="D188" s="150"/>
      <c r="E188" s="150"/>
      <c r="F188" s="151"/>
      <c r="G188" s="152"/>
      <c r="H188" s="152"/>
      <c r="I188" s="152"/>
      <c r="J188" s="152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ht="14.25" customHeight="1">
      <c r="A189" s="147"/>
      <c r="B189" s="148"/>
      <c r="C189" s="149"/>
      <c r="D189" s="150"/>
      <c r="E189" s="150"/>
      <c r="F189" s="151"/>
      <c r="G189" s="152"/>
      <c r="H189" s="152"/>
      <c r="I189" s="152"/>
      <c r="J189" s="152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ht="14.25" customHeight="1">
      <c r="A190" s="147"/>
      <c r="B190" s="148"/>
      <c r="C190" s="149"/>
      <c r="D190" s="150"/>
      <c r="E190" s="150"/>
      <c r="F190" s="151"/>
      <c r="G190" s="152"/>
      <c r="H190" s="152"/>
      <c r="I190" s="152"/>
      <c r="J190" s="152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ht="14.25" customHeight="1">
      <c r="A191" s="147"/>
      <c r="B191" s="148"/>
      <c r="C191" s="149"/>
      <c r="D191" s="150"/>
      <c r="E191" s="150"/>
      <c r="F191" s="151"/>
      <c r="G191" s="152"/>
      <c r="H191" s="152"/>
      <c r="I191" s="152"/>
      <c r="J191" s="152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ht="14.25" customHeight="1">
      <c r="A192" s="147"/>
      <c r="B192" s="148"/>
      <c r="C192" s="149"/>
      <c r="D192" s="150"/>
      <c r="E192" s="150"/>
      <c r="F192" s="151"/>
      <c r="G192" s="152"/>
      <c r="H192" s="152"/>
      <c r="I192" s="152"/>
      <c r="J192" s="152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ht="14.25" customHeight="1">
      <c r="A193" s="147"/>
      <c r="B193" s="148"/>
      <c r="C193" s="149"/>
      <c r="D193" s="150"/>
      <c r="E193" s="150"/>
      <c r="F193" s="151"/>
      <c r="G193" s="152"/>
      <c r="H193" s="152"/>
      <c r="I193" s="152"/>
      <c r="J193" s="152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ht="14.25" customHeight="1">
      <c r="A194" s="147"/>
      <c r="B194" s="148"/>
      <c r="C194" s="149"/>
      <c r="D194" s="150"/>
      <c r="E194" s="150"/>
      <c r="F194" s="151"/>
      <c r="G194" s="152"/>
      <c r="H194" s="152"/>
      <c r="I194" s="152"/>
      <c r="J194" s="152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ht="14.25" customHeight="1">
      <c r="A195" s="147"/>
      <c r="B195" s="148"/>
      <c r="C195" s="149"/>
      <c r="D195" s="150"/>
      <c r="E195" s="150"/>
      <c r="F195" s="151"/>
      <c r="G195" s="152"/>
      <c r="H195" s="152"/>
      <c r="I195" s="152"/>
      <c r="J195" s="152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ht="14.25" customHeight="1">
      <c r="A196" s="147"/>
      <c r="B196" s="148"/>
      <c r="C196" s="149"/>
      <c r="D196" s="150"/>
      <c r="E196" s="150"/>
      <c r="F196" s="151"/>
      <c r="G196" s="152"/>
      <c r="H196" s="152"/>
      <c r="I196" s="152"/>
      <c r="J196" s="152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ht="14.25" customHeight="1">
      <c r="A197" s="147"/>
      <c r="B197" s="148"/>
      <c r="C197" s="149"/>
      <c r="D197" s="150"/>
      <c r="E197" s="150"/>
      <c r="F197" s="151"/>
      <c r="G197" s="152"/>
      <c r="H197" s="152"/>
      <c r="I197" s="152"/>
      <c r="J197" s="152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ht="14.25" customHeight="1">
      <c r="A198" s="147"/>
      <c r="B198" s="148"/>
      <c r="C198" s="149"/>
      <c r="D198" s="150"/>
      <c r="E198" s="150"/>
      <c r="F198" s="151"/>
      <c r="G198" s="152"/>
      <c r="H198" s="152"/>
      <c r="I198" s="152"/>
      <c r="J198" s="152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ht="14.25" customHeight="1">
      <c r="A199" s="147"/>
      <c r="B199" s="148"/>
      <c r="C199" s="149"/>
      <c r="D199" s="150"/>
      <c r="E199" s="150"/>
      <c r="F199" s="151"/>
      <c r="G199" s="152"/>
      <c r="H199" s="152"/>
      <c r="I199" s="152"/>
      <c r="J199" s="152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ht="14.25" customHeight="1">
      <c r="A200" s="147"/>
      <c r="B200" s="148"/>
      <c r="C200" s="149"/>
      <c r="D200" s="150"/>
      <c r="E200" s="150"/>
      <c r="F200" s="151"/>
      <c r="G200" s="152"/>
      <c r="H200" s="152"/>
      <c r="I200" s="152"/>
      <c r="J200" s="152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ht="14.25" customHeight="1">
      <c r="A201" s="147"/>
      <c r="B201" s="148"/>
      <c r="C201" s="149"/>
      <c r="D201" s="150"/>
      <c r="E201" s="150"/>
      <c r="F201" s="151"/>
      <c r="G201" s="152"/>
      <c r="H201" s="152"/>
      <c r="I201" s="152"/>
      <c r="J201" s="152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ht="14.25" customHeight="1">
      <c r="A202" s="147"/>
      <c r="B202" s="148"/>
      <c r="C202" s="149"/>
      <c r="D202" s="150"/>
      <c r="E202" s="150"/>
      <c r="F202" s="151"/>
      <c r="G202" s="152"/>
      <c r="H202" s="152"/>
      <c r="I202" s="152"/>
      <c r="J202" s="152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ht="14.25" customHeight="1">
      <c r="A203" s="147"/>
      <c r="B203" s="148"/>
      <c r="C203" s="149"/>
      <c r="D203" s="150"/>
      <c r="E203" s="150"/>
      <c r="F203" s="151"/>
      <c r="G203" s="152"/>
      <c r="H203" s="152"/>
      <c r="I203" s="152"/>
      <c r="J203" s="152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ht="14.25" customHeight="1">
      <c r="A204" s="147"/>
      <c r="B204" s="148"/>
      <c r="C204" s="149"/>
      <c r="D204" s="150"/>
      <c r="E204" s="150"/>
      <c r="F204" s="151"/>
      <c r="G204" s="152"/>
      <c r="H204" s="152"/>
      <c r="I204" s="152"/>
      <c r="J204" s="152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ht="14.25" customHeight="1">
      <c r="A205" s="147"/>
      <c r="B205" s="148"/>
      <c r="C205" s="149"/>
      <c r="D205" s="150"/>
      <c r="E205" s="150"/>
      <c r="F205" s="151"/>
      <c r="G205" s="152"/>
      <c r="H205" s="152"/>
      <c r="I205" s="152"/>
      <c r="J205" s="152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ht="14.25" customHeight="1">
      <c r="A206" s="147"/>
      <c r="B206" s="148"/>
      <c r="C206" s="149"/>
      <c r="D206" s="150"/>
      <c r="E206" s="150"/>
      <c r="F206" s="151"/>
      <c r="G206" s="152"/>
      <c r="H206" s="152"/>
      <c r="I206" s="152"/>
      <c r="J206" s="152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ht="14.25" customHeight="1">
      <c r="A207" s="147"/>
      <c r="B207" s="148"/>
      <c r="C207" s="149"/>
      <c r="D207" s="150"/>
      <c r="E207" s="150"/>
      <c r="F207" s="151"/>
      <c r="G207" s="152"/>
      <c r="H207" s="152"/>
      <c r="I207" s="152"/>
      <c r="J207" s="152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ht="14.25" customHeight="1">
      <c r="A208" s="147"/>
      <c r="B208" s="148"/>
      <c r="C208" s="149"/>
      <c r="D208" s="150"/>
      <c r="E208" s="150"/>
      <c r="F208" s="151"/>
      <c r="G208" s="152"/>
      <c r="H208" s="152"/>
      <c r="I208" s="152"/>
      <c r="J208" s="152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ht="14.25" customHeight="1">
      <c r="A209" s="147"/>
      <c r="B209" s="148"/>
      <c r="C209" s="149"/>
      <c r="D209" s="150"/>
      <c r="E209" s="150"/>
      <c r="F209" s="151"/>
      <c r="G209" s="152"/>
      <c r="H209" s="152"/>
      <c r="I209" s="152"/>
      <c r="J209" s="152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ht="14.25" customHeight="1">
      <c r="A210" s="147"/>
      <c r="B210" s="148"/>
      <c r="C210" s="149"/>
      <c r="D210" s="150"/>
      <c r="E210" s="150"/>
      <c r="F210" s="151"/>
      <c r="G210" s="152"/>
      <c r="H210" s="152"/>
      <c r="I210" s="152"/>
      <c r="J210" s="152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ht="14.25" customHeight="1">
      <c r="A211" s="147"/>
      <c r="B211" s="148"/>
      <c r="C211" s="149"/>
      <c r="D211" s="150"/>
      <c r="E211" s="150"/>
      <c r="F211" s="151"/>
      <c r="G211" s="152"/>
      <c r="H211" s="152"/>
      <c r="I211" s="152"/>
      <c r="J211" s="152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ht="14.25" customHeight="1">
      <c r="A212" s="147"/>
      <c r="B212" s="148"/>
      <c r="C212" s="149"/>
      <c r="D212" s="150"/>
      <c r="E212" s="150"/>
      <c r="F212" s="151"/>
      <c r="G212" s="152"/>
      <c r="H212" s="152"/>
      <c r="I212" s="152"/>
      <c r="J212" s="152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ht="14.25" customHeight="1">
      <c r="A213" s="147"/>
      <c r="B213" s="148"/>
      <c r="C213" s="149"/>
      <c r="D213" s="150"/>
      <c r="E213" s="150"/>
      <c r="F213" s="151"/>
      <c r="G213" s="152"/>
      <c r="H213" s="152"/>
      <c r="I213" s="152"/>
      <c r="J213" s="152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ht="14.25" customHeight="1">
      <c r="A214" s="147"/>
      <c r="B214" s="148"/>
      <c r="C214" s="149"/>
      <c r="D214" s="150"/>
      <c r="E214" s="150"/>
      <c r="F214" s="151"/>
      <c r="G214" s="152"/>
      <c r="H214" s="152"/>
      <c r="I214" s="152"/>
      <c r="J214" s="152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ht="14.25" customHeight="1">
      <c r="A215" s="147"/>
      <c r="B215" s="148"/>
      <c r="C215" s="149"/>
      <c r="D215" s="150"/>
      <c r="E215" s="150"/>
      <c r="F215" s="151"/>
      <c r="G215" s="152"/>
      <c r="H215" s="152"/>
      <c r="I215" s="152"/>
      <c r="J215" s="152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ht="14.25" customHeight="1">
      <c r="A216" s="147"/>
      <c r="B216" s="148"/>
      <c r="C216" s="149"/>
      <c r="D216" s="150"/>
      <c r="E216" s="150"/>
      <c r="F216" s="151"/>
      <c r="G216" s="152"/>
      <c r="H216" s="152"/>
      <c r="I216" s="152"/>
      <c r="J216" s="152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ht="14.25" customHeight="1">
      <c r="A217" s="147"/>
      <c r="B217" s="148"/>
      <c r="C217" s="149"/>
      <c r="D217" s="150"/>
      <c r="E217" s="150"/>
      <c r="F217" s="151"/>
      <c r="G217" s="152"/>
      <c r="H217" s="152"/>
      <c r="I217" s="152"/>
      <c r="J217" s="152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ht="14.25" customHeight="1">
      <c r="A218" s="147"/>
      <c r="B218" s="148"/>
      <c r="C218" s="149"/>
      <c r="D218" s="150"/>
      <c r="E218" s="150"/>
      <c r="F218" s="151"/>
      <c r="G218" s="152"/>
      <c r="H218" s="152"/>
      <c r="I218" s="152"/>
      <c r="J218" s="152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ht="14.25" customHeight="1">
      <c r="A219" s="147"/>
      <c r="B219" s="148"/>
      <c r="C219" s="149"/>
      <c r="D219" s="150"/>
      <c r="E219" s="150"/>
      <c r="F219" s="151"/>
      <c r="G219" s="152"/>
      <c r="H219" s="152"/>
      <c r="I219" s="152"/>
      <c r="J219" s="152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ht="14.25" customHeight="1">
      <c r="A220" s="147"/>
      <c r="B220" s="148"/>
      <c r="C220" s="149"/>
      <c r="D220" s="150"/>
      <c r="E220" s="150"/>
      <c r="F220" s="151"/>
      <c r="G220" s="152"/>
      <c r="H220" s="152"/>
      <c r="I220" s="152"/>
      <c r="J220" s="152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ht="14.25" customHeight="1">
      <c r="A221" s="147"/>
      <c r="B221" s="148"/>
      <c r="C221" s="149"/>
      <c r="D221" s="150"/>
      <c r="E221" s="150"/>
      <c r="F221" s="151"/>
      <c r="G221" s="152"/>
      <c r="H221" s="152"/>
      <c r="I221" s="152"/>
      <c r="J221" s="152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ht="14.25" customHeight="1">
      <c r="A222" s="147"/>
      <c r="B222" s="148"/>
      <c r="C222" s="149"/>
      <c r="D222" s="150"/>
      <c r="E222" s="150"/>
      <c r="F222" s="151"/>
      <c r="G222" s="152"/>
      <c r="H222" s="152"/>
      <c r="I222" s="152"/>
      <c r="J222" s="152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ht="14.25" customHeight="1">
      <c r="A223" s="147"/>
      <c r="B223" s="148"/>
      <c r="C223" s="149"/>
      <c r="D223" s="150"/>
      <c r="E223" s="150"/>
      <c r="F223" s="151"/>
      <c r="G223" s="152"/>
      <c r="H223" s="152"/>
      <c r="I223" s="152"/>
      <c r="J223" s="152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ht="14.25" customHeight="1">
      <c r="A224" s="147"/>
      <c r="B224" s="148"/>
      <c r="C224" s="149"/>
      <c r="D224" s="150"/>
      <c r="E224" s="150"/>
      <c r="F224" s="151"/>
      <c r="G224" s="152"/>
      <c r="H224" s="152"/>
      <c r="I224" s="152"/>
      <c r="J224" s="152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ht="14.25" customHeight="1">
      <c r="A225" s="147"/>
      <c r="B225" s="148"/>
      <c r="C225" s="149"/>
      <c r="D225" s="150"/>
      <c r="E225" s="150"/>
      <c r="F225" s="151"/>
      <c r="G225" s="152"/>
      <c r="H225" s="152"/>
      <c r="I225" s="152"/>
      <c r="J225" s="152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ht="14.25" customHeight="1">
      <c r="A226" s="147"/>
      <c r="B226" s="148"/>
      <c r="C226" s="149"/>
      <c r="D226" s="150"/>
      <c r="E226" s="150"/>
      <c r="F226" s="151"/>
      <c r="G226" s="152"/>
      <c r="H226" s="152"/>
      <c r="I226" s="152"/>
      <c r="J226" s="152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ht="14.25" customHeight="1">
      <c r="A227" s="147"/>
      <c r="B227" s="148"/>
      <c r="C227" s="149"/>
      <c r="D227" s="150"/>
      <c r="E227" s="150"/>
      <c r="F227" s="151"/>
      <c r="G227" s="152"/>
      <c r="H227" s="152"/>
      <c r="I227" s="152"/>
      <c r="J227" s="152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ht="14.25" customHeight="1">
      <c r="A228" s="147"/>
      <c r="B228" s="148"/>
      <c r="C228" s="149"/>
      <c r="D228" s="150"/>
      <c r="E228" s="150"/>
      <c r="F228" s="151"/>
      <c r="G228" s="152"/>
      <c r="H228" s="152"/>
      <c r="I228" s="152"/>
      <c r="J228" s="152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ht="14.25" customHeight="1">
      <c r="A229" s="147"/>
      <c r="B229" s="148"/>
      <c r="C229" s="149"/>
      <c r="D229" s="150"/>
      <c r="E229" s="150"/>
      <c r="F229" s="151"/>
      <c r="G229" s="152"/>
      <c r="H229" s="152"/>
      <c r="I229" s="152"/>
      <c r="J229" s="152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ht="14.25" customHeight="1">
      <c r="A230" s="147"/>
      <c r="B230" s="148"/>
      <c r="C230" s="149"/>
      <c r="D230" s="150"/>
      <c r="E230" s="150"/>
      <c r="F230" s="151"/>
      <c r="G230" s="152"/>
      <c r="H230" s="152"/>
      <c r="I230" s="152"/>
      <c r="J230" s="152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ht="14.25" customHeight="1">
      <c r="A231" s="147"/>
      <c r="B231" s="148"/>
      <c r="C231" s="149"/>
      <c r="D231" s="150"/>
      <c r="E231" s="150"/>
      <c r="F231" s="151"/>
      <c r="G231" s="152"/>
      <c r="H231" s="152"/>
      <c r="I231" s="152"/>
      <c r="J231" s="152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ht="14.25" customHeight="1">
      <c r="A232" s="147"/>
      <c r="B232" s="148"/>
      <c r="C232" s="149"/>
      <c r="D232" s="150"/>
      <c r="E232" s="150"/>
      <c r="F232" s="151"/>
      <c r="G232" s="152"/>
      <c r="H232" s="152"/>
      <c r="I232" s="152"/>
      <c r="J232" s="152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ht="14.25" customHeight="1">
      <c r="A233" s="147"/>
      <c r="B233" s="148"/>
      <c r="C233" s="149"/>
      <c r="D233" s="150"/>
      <c r="E233" s="150"/>
      <c r="F233" s="151"/>
      <c r="G233" s="152"/>
      <c r="H233" s="152"/>
      <c r="I233" s="152"/>
      <c r="J233" s="152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ht="14.25" customHeight="1">
      <c r="A234" s="147"/>
      <c r="B234" s="148"/>
      <c r="C234" s="149"/>
      <c r="D234" s="150"/>
      <c r="E234" s="150"/>
      <c r="F234" s="151"/>
      <c r="G234" s="152"/>
      <c r="H234" s="152"/>
      <c r="I234" s="152"/>
      <c r="J234" s="152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ht="14.25" customHeight="1">
      <c r="A235" s="147"/>
      <c r="B235" s="148"/>
      <c r="C235" s="149"/>
      <c r="D235" s="150"/>
      <c r="E235" s="150"/>
      <c r="F235" s="151"/>
      <c r="G235" s="152"/>
      <c r="H235" s="152"/>
      <c r="I235" s="152"/>
      <c r="J235" s="152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ht="14.25" customHeight="1">
      <c r="A236" s="147"/>
      <c r="B236" s="148"/>
      <c r="C236" s="149"/>
      <c r="D236" s="150"/>
      <c r="E236" s="150"/>
      <c r="F236" s="151"/>
      <c r="G236" s="152"/>
      <c r="H236" s="152"/>
      <c r="I236" s="152"/>
      <c r="J236" s="152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ht="14.25" customHeight="1">
      <c r="A237" s="147"/>
      <c r="B237" s="148"/>
      <c r="C237" s="149"/>
      <c r="D237" s="150"/>
      <c r="E237" s="150"/>
      <c r="F237" s="151"/>
      <c r="G237" s="152"/>
      <c r="H237" s="152"/>
      <c r="I237" s="152"/>
      <c r="J237" s="152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ht="14.25" customHeight="1">
      <c r="A238" s="147"/>
      <c r="B238" s="148"/>
      <c r="C238" s="149"/>
      <c r="D238" s="150"/>
      <c r="E238" s="150"/>
      <c r="F238" s="151"/>
      <c r="G238" s="152"/>
      <c r="H238" s="152"/>
      <c r="I238" s="152"/>
      <c r="J238" s="152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ht="14.25" customHeight="1">
      <c r="A239" s="147"/>
      <c r="B239" s="148"/>
      <c r="C239" s="149"/>
      <c r="D239" s="150"/>
      <c r="E239" s="150"/>
      <c r="F239" s="151"/>
      <c r="G239" s="152"/>
      <c r="H239" s="152"/>
      <c r="I239" s="152"/>
      <c r="J239" s="152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ht="14.25" customHeight="1">
      <c r="A240" s="147"/>
      <c r="B240" s="148"/>
      <c r="C240" s="149"/>
      <c r="D240" s="150"/>
      <c r="E240" s="150"/>
      <c r="F240" s="151"/>
      <c r="G240" s="152"/>
      <c r="H240" s="152"/>
      <c r="I240" s="152"/>
      <c r="J240" s="152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ht="14.25" customHeight="1">
      <c r="A241" s="147"/>
      <c r="B241" s="148"/>
      <c r="C241" s="149"/>
      <c r="D241" s="150"/>
      <c r="E241" s="150"/>
      <c r="F241" s="151"/>
      <c r="G241" s="152"/>
      <c r="H241" s="152"/>
      <c r="I241" s="152"/>
      <c r="J241" s="152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ht="14.25" customHeight="1">
      <c r="A242" s="147"/>
      <c r="B242" s="148"/>
      <c r="C242" s="149"/>
      <c r="D242" s="150"/>
      <c r="E242" s="150"/>
      <c r="F242" s="151"/>
      <c r="G242" s="152"/>
      <c r="H242" s="152"/>
      <c r="I242" s="152"/>
      <c r="J242" s="152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ht="14.25" customHeight="1">
      <c r="A243" s="147"/>
      <c r="B243" s="148"/>
      <c r="C243" s="149"/>
      <c r="D243" s="150"/>
      <c r="E243" s="150"/>
      <c r="F243" s="151"/>
      <c r="G243" s="152"/>
      <c r="H243" s="152"/>
      <c r="I243" s="152"/>
      <c r="J243" s="152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ht="14.25" customHeight="1">
      <c r="A244" s="147"/>
      <c r="B244" s="148"/>
      <c r="C244" s="149"/>
      <c r="D244" s="150"/>
      <c r="E244" s="150"/>
      <c r="F244" s="151"/>
      <c r="G244" s="152"/>
      <c r="H244" s="152"/>
      <c r="I244" s="152"/>
      <c r="J244" s="152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ht="14.25" customHeight="1">
      <c r="A245" s="147"/>
      <c r="B245" s="148"/>
      <c r="C245" s="149"/>
      <c r="D245" s="150"/>
      <c r="E245" s="150"/>
      <c r="F245" s="151"/>
      <c r="G245" s="152"/>
      <c r="H245" s="152"/>
      <c r="I245" s="152"/>
      <c r="J245" s="152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ht="14.25" customHeight="1">
      <c r="A246" s="147"/>
      <c r="B246" s="148"/>
      <c r="C246" s="149"/>
      <c r="D246" s="150"/>
      <c r="E246" s="150"/>
      <c r="F246" s="151"/>
      <c r="G246" s="152"/>
      <c r="H246" s="152"/>
      <c r="I246" s="152"/>
      <c r="J246" s="152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ht="14.25" customHeight="1">
      <c r="A247" s="147"/>
      <c r="B247" s="148"/>
      <c r="C247" s="149"/>
      <c r="D247" s="150"/>
      <c r="E247" s="150"/>
      <c r="F247" s="151"/>
      <c r="G247" s="152"/>
      <c r="H247" s="152"/>
      <c r="I247" s="152"/>
      <c r="J247" s="152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ht="14.25" customHeight="1">
      <c r="A248" s="147"/>
      <c r="B248" s="148"/>
      <c r="C248" s="149"/>
      <c r="D248" s="150"/>
      <c r="E248" s="150"/>
      <c r="F248" s="151"/>
      <c r="G248" s="152"/>
      <c r="H248" s="152"/>
      <c r="I248" s="152"/>
      <c r="J248" s="152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ht="14.25" customHeight="1">
      <c r="A249" s="147"/>
      <c r="B249" s="148"/>
      <c r="C249" s="149"/>
      <c r="D249" s="150"/>
      <c r="E249" s="150"/>
      <c r="F249" s="151"/>
      <c r="G249" s="152"/>
      <c r="H249" s="152"/>
      <c r="I249" s="152"/>
      <c r="J249" s="152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ht="14.25" customHeight="1">
      <c r="A250" s="147"/>
      <c r="B250" s="148"/>
      <c r="C250" s="149"/>
      <c r="D250" s="150"/>
      <c r="E250" s="150"/>
      <c r="F250" s="151"/>
      <c r="G250" s="152"/>
      <c r="H250" s="152"/>
      <c r="I250" s="152"/>
      <c r="J250" s="152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ht="14.25" customHeight="1">
      <c r="A251" s="147"/>
      <c r="B251" s="148"/>
      <c r="C251" s="149"/>
      <c r="D251" s="150"/>
      <c r="E251" s="150"/>
      <c r="F251" s="151"/>
      <c r="G251" s="152"/>
      <c r="H251" s="152"/>
      <c r="I251" s="152"/>
      <c r="J251" s="152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ht="14.25" customHeight="1">
      <c r="A252" s="147"/>
      <c r="B252" s="148"/>
      <c r="C252" s="149"/>
      <c r="D252" s="150"/>
      <c r="E252" s="150"/>
      <c r="F252" s="151"/>
      <c r="G252" s="152"/>
      <c r="H252" s="152"/>
      <c r="I252" s="152"/>
      <c r="J252" s="152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ht="14.25" customHeight="1">
      <c r="A253" s="147"/>
      <c r="B253" s="148"/>
      <c r="C253" s="149"/>
      <c r="D253" s="150"/>
      <c r="E253" s="150"/>
      <c r="F253" s="151"/>
      <c r="G253" s="152"/>
      <c r="H253" s="152"/>
      <c r="I253" s="152"/>
      <c r="J253" s="152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ht="14.25" customHeight="1">
      <c r="A254" s="147"/>
      <c r="B254" s="148"/>
      <c r="C254" s="149"/>
      <c r="D254" s="150"/>
      <c r="E254" s="150"/>
      <c r="F254" s="151"/>
      <c r="G254" s="152"/>
      <c r="H254" s="152"/>
      <c r="I254" s="152"/>
      <c r="J254" s="152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ht="14.25" customHeight="1">
      <c r="A255" s="147"/>
      <c r="B255" s="148"/>
      <c r="C255" s="149"/>
      <c r="D255" s="150"/>
      <c r="E255" s="150"/>
      <c r="F255" s="151"/>
      <c r="G255" s="152"/>
      <c r="H255" s="152"/>
      <c r="I255" s="152"/>
      <c r="J255" s="152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ht="14.25" customHeight="1">
      <c r="A256" s="147"/>
      <c r="B256" s="148"/>
      <c r="C256" s="149"/>
      <c r="D256" s="150"/>
      <c r="E256" s="150"/>
      <c r="F256" s="151"/>
      <c r="G256" s="152"/>
      <c r="H256" s="152"/>
      <c r="I256" s="152"/>
      <c r="J256" s="152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ht="14.25" customHeight="1">
      <c r="A257" s="147"/>
      <c r="B257" s="148"/>
      <c r="C257" s="149"/>
      <c r="D257" s="150"/>
      <c r="E257" s="150"/>
      <c r="F257" s="151"/>
      <c r="G257" s="152"/>
      <c r="H257" s="152"/>
      <c r="I257" s="152"/>
      <c r="J257" s="152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ht="14.25" customHeight="1">
      <c r="A258" s="147"/>
      <c r="B258" s="148"/>
      <c r="C258" s="149"/>
      <c r="D258" s="150"/>
      <c r="E258" s="150"/>
      <c r="F258" s="151"/>
      <c r="G258" s="152"/>
      <c r="H258" s="152"/>
      <c r="I258" s="152"/>
      <c r="J258" s="152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ht="14.25" customHeight="1">
      <c r="A259" s="147"/>
      <c r="B259" s="148"/>
      <c r="C259" s="149"/>
      <c r="D259" s="150"/>
      <c r="E259" s="150"/>
      <c r="F259" s="151"/>
      <c r="G259" s="152"/>
      <c r="H259" s="152"/>
      <c r="I259" s="152"/>
      <c r="J259" s="152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ht="14.25" customHeight="1">
      <c r="A260" s="147"/>
      <c r="B260" s="148"/>
      <c r="C260" s="149"/>
      <c r="D260" s="150"/>
      <c r="E260" s="150"/>
      <c r="F260" s="151"/>
      <c r="G260" s="152"/>
      <c r="H260" s="152"/>
      <c r="I260" s="152"/>
      <c r="J260" s="152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ht="14.25" customHeight="1">
      <c r="A261" s="147"/>
      <c r="B261" s="148"/>
      <c r="C261" s="149"/>
      <c r="D261" s="150"/>
      <c r="E261" s="150"/>
      <c r="F261" s="151"/>
      <c r="G261" s="152"/>
      <c r="H261" s="152"/>
      <c r="I261" s="152"/>
      <c r="J261" s="152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ht="14.25" customHeight="1">
      <c r="A262" s="147"/>
      <c r="B262" s="148"/>
      <c r="C262" s="149"/>
      <c r="D262" s="150"/>
      <c r="E262" s="150"/>
      <c r="F262" s="151"/>
      <c r="G262" s="152"/>
      <c r="H262" s="152"/>
      <c r="I262" s="152"/>
      <c r="J262" s="152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ht="14.25" customHeight="1">
      <c r="A263" s="147"/>
      <c r="B263" s="148"/>
      <c r="C263" s="149"/>
      <c r="D263" s="150"/>
      <c r="E263" s="150"/>
      <c r="F263" s="151"/>
      <c r="G263" s="152"/>
      <c r="H263" s="152"/>
      <c r="I263" s="152"/>
      <c r="J263" s="152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ht="14.25" customHeight="1">
      <c r="A264" s="147"/>
      <c r="B264" s="148"/>
      <c r="C264" s="149"/>
      <c r="D264" s="150"/>
      <c r="E264" s="150"/>
      <c r="F264" s="151"/>
      <c r="G264" s="152"/>
      <c r="H264" s="152"/>
      <c r="I264" s="152"/>
      <c r="J264" s="152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ht="14.25" customHeight="1">
      <c r="A265" s="147"/>
      <c r="B265" s="148"/>
      <c r="C265" s="149"/>
      <c r="D265" s="150"/>
      <c r="E265" s="150"/>
      <c r="F265" s="151"/>
      <c r="G265" s="152"/>
      <c r="H265" s="152"/>
      <c r="I265" s="152"/>
      <c r="J265" s="152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ht="14.25" customHeight="1">
      <c r="A266" s="147"/>
      <c r="B266" s="148"/>
      <c r="C266" s="149"/>
      <c r="D266" s="150"/>
      <c r="E266" s="150"/>
      <c r="F266" s="151"/>
      <c r="G266" s="152"/>
      <c r="H266" s="152"/>
      <c r="I266" s="152"/>
      <c r="J266" s="152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ht="14.25" customHeight="1">
      <c r="A267" s="147"/>
      <c r="B267" s="148"/>
      <c r="C267" s="149"/>
      <c r="D267" s="150"/>
      <c r="E267" s="150"/>
      <c r="F267" s="151"/>
      <c r="G267" s="152"/>
      <c r="H267" s="152"/>
      <c r="I267" s="152"/>
      <c r="J267" s="152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ht="14.25" customHeight="1">
      <c r="A268" s="147"/>
      <c r="B268" s="148"/>
      <c r="C268" s="149"/>
      <c r="D268" s="150"/>
      <c r="E268" s="150"/>
      <c r="F268" s="151"/>
      <c r="G268" s="152"/>
      <c r="H268" s="152"/>
      <c r="I268" s="152"/>
      <c r="J268" s="152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ht="14.25" customHeight="1">
      <c r="A269" s="147"/>
      <c r="B269" s="148"/>
      <c r="C269" s="149"/>
      <c r="D269" s="150"/>
      <c r="E269" s="150"/>
      <c r="F269" s="151"/>
      <c r="G269" s="152"/>
      <c r="H269" s="152"/>
      <c r="I269" s="152"/>
      <c r="J269" s="152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ht="14.25" customHeight="1">
      <c r="A270" s="147"/>
      <c r="B270" s="148"/>
      <c r="C270" s="149"/>
      <c r="D270" s="150"/>
      <c r="E270" s="150"/>
      <c r="F270" s="151"/>
      <c r="G270" s="152"/>
      <c r="H270" s="152"/>
      <c r="I270" s="152"/>
      <c r="J270" s="152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ht="14.25" customHeight="1">
      <c r="A271" s="147"/>
      <c r="B271" s="148"/>
      <c r="C271" s="149"/>
      <c r="D271" s="150"/>
      <c r="E271" s="150"/>
      <c r="F271" s="151"/>
      <c r="G271" s="152"/>
      <c r="H271" s="152"/>
      <c r="I271" s="152"/>
      <c r="J271" s="152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ht="14.25" customHeight="1">
      <c r="A272" s="147"/>
      <c r="B272" s="148"/>
      <c r="C272" s="149"/>
      <c r="D272" s="150"/>
      <c r="E272" s="150"/>
      <c r="F272" s="151"/>
      <c r="G272" s="152"/>
      <c r="H272" s="152"/>
      <c r="I272" s="152"/>
      <c r="J272" s="152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ht="14.25" customHeight="1">
      <c r="A273" s="147"/>
      <c r="B273" s="148"/>
      <c r="C273" s="149"/>
      <c r="D273" s="150"/>
      <c r="E273" s="150"/>
      <c r="F273" s="151"/>
      <c r="G273" s="152"/>
      <c r="H273" s="152"/>
      <c r="I273" s="152"/>
      <c r="J273" s="152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ht="14.25" customHeight="1">
      <c r="A274" s="147"/>
      <c r="B274" s="148"/>
      <c r="C274" s="149"/>
      <c r="D274" s="150"/>
      <c r="E274" s="150"/>
      <c r="F274" s="151"/>
      <c r="G274" s="152"/>
      <c r="H274" s="152"/>
      <c r="I274" s="152"/>
      <c r="J274" s="152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ht="14.25" customHeight="1">
      <c r="A275" s="147"/>
      <c r="B275" s="148"/>
      <c r="C275" s="149"/>
      <c r="D275" s="150"/>
      <c r="E275" s="150"/>
      <c r="F275" s="151"/>
      <c r="G275" s="152"/>
      <c r="H275" s="152"/>
      <c r="I275" s="152"/>
      <c r="J275" s="152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ht="14.25" customHeight="1">
      <c r="A276" s="147"/>
      <c r="B276" s="148"/>
      <c r="C276" s="149"/>
      <c r="D276" s="150"/>
      <c r="E276" s="150"/>
      <c r="F276" s="151"/>
      <c r="G276" s="152"/>
      <c r="H276" s="152"/>
      <c r="I276" s="152"/>
      <c r="J276" s="152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ht="14.25" customHeight="1">
      <c r="A277" s="147"/>
      <c r="B277" s="148"/>
      <c r="C277" s="149"/>
      <c r="D277" s="150"/>
      <c r="E277" s="150"/>
      <c r="F277" s="151"/>
      <c r="G277" s="152"/>
      <c r="H277" s="152"/>
      <c r="I277" s="152"/>
      <c r="J277" s="152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ht="14.25" customHeight="1">
      <c r="A278" s="147"/>
      <c r="B278" s="148"/>
      <c r="C278" s="149"/>
      <c r="D278" s="150"/>
      <c r="E278" s="150"/>
      <c r="F278" s="151"/>
      <c r="G278" s="152"/>
      <c r="H278" s="152"/>
      <c r="I278" s="152"/>
      <c r="J278" s="152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ht="14.25" customHeight="1">
      <c r="A279" s="147"/>
      <c r="B279" s="148"/>
      <c r="C279" s="149"/>
      <c r="D279" s="150"/>
      <c r="E279" s="150"/>
      <c r="F279" s="151"/>
      <c r="G279" s="152"/>
      <c r="H279" s="152"/>
      <c r="I279" s="152"/>
      <c r="J279" s="152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ht="14.25" customHeight="1">
      <c r="A280" s="147"/>
      <c r="B280" s="148"/>
      <c r="C280" s="149"/>
      <c r="D280" s="150"/>
      <c r="E280" s="150"/>
      <c r="F280" s="151"/>
      <c r="G280" s="152"/>
      <c r="H280" s="152"/>
      <c r="I280" s="152"/>
      <c r="J280" s="152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ht="14.25" customHeight="1">
      <c r="A281" s="147"/>
      <c r="B281" s="148"/>
      <c r="C281" s="149"/>
      <c r="D281" s="150"/>
      <c r="E281" s="150"/>
      <c r="F281" s="151"/>
      <c r="G281" s="152"/>
      <c r="H281" s="152"/>
      <c r="I281" s="152"/>
      <c r="J281" s="152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ht="14.25" customHeight="1">
      <c r="A282" s="147"/>
      <c r="B282" s="148"/>
      <c r="C282" s="149"/>
      <c r="D282" s="150"/>
      <c r="E282" s="150"/>
      <c r="F282" s="151"/>
      <c r="G282" s="152"/>
      <c r="H282" s="152"/>
      <c r="I282" s="152"/>
      <c r="J282" s="152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ht="14.25" customHeight="1">
      <c r="A283" s="147"/>
      <c r="B283" s="148"/>
      <c r="C283" s="149"/>
      <c r="D283" s="150"/>
      <c r="E283" s="150"/>
      <c r="F283" s="151"/>
      <c r="G283" s="152"/>
      <c r="H283" s="152"/>
      <c r="I283" s="152"/>
      <c r="J283" s="152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ht="14.25" customHeight="1">
      <c r="A284" s="147"/>
      <c r="B284" s="148"/>
      <c r="C284" s="149"/>
      <c r="D284" s="150"/>
      <c r="E284" s="150"/>
      <c r="F284" s="151"/>
      <c r="G284" s="152"/>
      <c r="H284" s="152"/>
      <c r="I284" s="152"/>
      <c r="J284" s="152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ht="14.25" customHeight="1">
      <c r="A285" s="147"/>
      <c r="B285" s="148"/>
      <c r="C285" s="149"/>
      <c r="D285" s="150"/>
      <c r="E285" s="150"/>
      <c r="F285" s="151"/>
      <c r="G285" s="152"/>
      <c r="H285" s="152"/>
      <c r="I285" s="152"/>
      <c r="J285" s="152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ht="14.25" customHeight="1">
      <c r="A286" s="147"/>
      <c r="B286" s="148"/>
      <c r="C286" s="149"/>
      <c r="D286" s="150"/>
      <c r="E286" s="150"/>
      <c r="F286" s="151"/>
      <c r="G286" s="152"/>
      <c r="H286" s="152"/>
      <c r="I286" s="152"/>
      <c r="J286" s="152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ht="14.25" customHeight="1">
      <c r="A287" s="147"/>
      <c r="B287" s="148"/>
      <c r="C287" s="149"/>
      <c r="D287" s="150"/>
      <c r="E287" s="150"/>
      <c r="F287" s="151"/>
      <c r="G287" s="152"/>
      <c r="H287" s="152"/>
      <c r="I287" s="152"/>
      <c r="J287" s="152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ht="14.25" customHeight="1">
      <c r="A288" s="147"/>
      <c r="B288" s="148"/>
      <c r="C288" s="149"/>
      <c r="D288" s="150"/>
      <c r="E288" s="150"/>
      <c r="F288" s="151"/>
      <c r="G288" s="152"/>
      <c r="H288" s="152"/>
      <c r="I288" s="152"/>
      <c r="J288" s="152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ht="14.25" customHeight="1">
      <c r="A289" s="147"/>
      <c r="B289" s="148"/>
      <c r="C289" s="149"/>
      <c r="D289" s="150"/>
      <c r="E289" s="150"/>
      <c r="F289" s="151"/>
      <c r="G289" s="152"/>
      <c r="H289" s="152"/>
      <c r="I289" s="152"/>
      <c r="J289" s="152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ht="14.25" customHeight="1">
      <c r="A290" s="147"/>
      <c r="B290" s="148"/>
      <c r="C290" s="149"/>
      <c r="D290" s="150"/>
      <c r="E290" s="150"/>
      <c r="F290" s="151"/>
      <c r="G290" s="152"/>
      <c r="H290" s="152"/>
      <c r="I290" s="152"/>
      <c r="J290" s="152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ht="14.25" customHeight="1">
      <c r="A291" s="147"/>
      <c r="B291" s="148"/>
      <c r="C291" s="149"/>
      <c r="D291" s="150"/>
      <c r="E291" s="150"/>
      <c r="F291" s="151"/>
      <c r="G291" s="152"/>
      <c r="H291" s="152"/>
      <c r="I291" s="152"/>
      <c r="J291" s="152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ht="14.25" customHeight="1">
      <c r="A292" s="147"/>
      <c r="B292" s="148"/>
      <c r="C292" s="149"/>
      <c r="D292" s="150"/>
      <c r="E292" s="150"/>
      <c r="F292" s="151"/>
      <c r="G292" s="152"/>
      <c r="H292" s="152"/>
      <c r="I292" s="152"/>
      <c r="J292" s="152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ht="14.25" customHeight="1">
      <c r="A293" s="147"/>
      <c r="B293" s="148"/>
      <c r="C293" s="149"/>
      <c r="D293" s="150"/>
      <c r="E293" s="150"/>
      <c r="F293" s="151"/>
      <c r="G293" s="152"/>
      <c r="H293" s="152"/>
      <c r="I293" s="152"/>
      <c r="J293" s="152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ht="14.25" customHeight="1">
      <c r="A294" s="147"/>
      <c r="B294" s="148"/>
      <c r="C294" s="149"/>
      <c r="D294" s="150"/>
      <c r="E294" s="150"/>
      <c r="F294" s="151"/>
      <c r="G294" s="152"/>
      <c r="H294" s="152"/>
      <c r="I294" s="152"/>
      <c r="J294" s="152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ht="14.25" customHeight="1">
      <c r="A295" s="147"/>
      <c r="B295" s="148"/>
      <c r="C295" s="149"/>
      <c r="D295" s="150"/>
      <c r="E295" s="150"/>
      <c r="F295" s="151"/>
      <c r="G295" s="152"/>
      <c r="H295" s="152"/>
      <c r="I295" s="152"/>
      <c r="J295" s="152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ht="14.25" customHeight="1">
      <c r="A296" s="147"/>
      <c r="B296" s="148"/>
      <c r="C296" s="149"/>
      <c r="D296" s="150"/>
      <c r="E296" s="150"/>
      <c r="F296" s="151"/>
      <c r="G296" s="152"/>
      <c r="H296" s="152"/>
      <c r="I296" s="152"/>
      <c r="J296" s="152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ht="14.25" customHeight="1">
      <c r="A297" s="147"/>
      <c r="B297" s="148"/>
      <c r="C297" s="149"/>
      <c r="D297" s="150"/>
      <c r="E297" s="150"/>
      <c r="F297" s="151"/>
      <c r="G297" s="152"/>
      <c r="H297" s="152"/>
      <c r="I297" s="152"/>
      <c r="J297" s="152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ht="14.25" customHeight="1">
      <c r="A298" s="147"/>
      <c r="B298" s="148"/>
      <c r="C298" s="149"/>
      <c r="D298" s="150"/>
      <c r="E298" s="150"/>
      <c r="F298" s="151"/>
      <c r="G298" s="152"/>
      <c r="H298" s="152"/>
      <c r="I298" s="152"/>
      <c r="J298" s="152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ht="14.25" customHeight="1">
      <c r="A299" s="147"/>
      <c r="B299" s="148"/>
      <c r="C299" s="149"/>
      <c r="D299" s="150"/>
      <c r="E299" s="150"/>
      <c r="F299" s="151"/>
      <c r="G299" s="152"/>
      <c r="H299" s="152"/>
      <c r="I299" s="152"/>
      <c r="J299" s="152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ht="14.25" customHeight="1">
      <c r="A300" s="147"/>
      <c r="B300" s="148"/>
      <c r="C300" s="149"/>
      <c r="D300" s="150"/>
      <c r="E300" s="150"/>
      <c r="F300" s="151"/>
      <c r="G300" s="152"/>
      <c r="H300" s="152"/>
      <c r="I300" s="152"/>
      <c r="J300" s="152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ht="14.25" customHeight="1">
      <c r="A301" s="147"/>
      <c r="B301" s="148"/>
      <c r="C301" s="149"/>
      <c r="D301" s="150"/>
      <c r="E301" s="150"/>
      <c r="F301" s="151"/>
      <c r="G301" s="152"/>
      <c r="H301" s="152"/>
      <c r="I301" s="152"/>
      <c r="J301" s="152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ht="14.25" customHeight="1">
      <c r="A302" s="147"/>
      <c r="B302" s="148"/>
      <c r="C302" s="149"/>
      <c r="D302" s="150"/>
      <c r="E302" s="150"/>
      <c r="F302" s="151"/>
      <c r="G302" s="152"/>
      <c r="H302" s="152"/>
      <c r="I302" s="152"/>
      <c r="J302" s="152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ht="14.25" customHeight="1">
      <c r="A303" s="147"/>
      <c r="B303" s="148"/>
      <c r="C303" s="149"/>
      <c r="D303" s="150"/>
      <c r="E303" s="150"/>
      <c r="F303" s="151"/>
      <c r="G303" s="152"/>
      <c r="H303" s="152"/>
      <c r="I303" s="152"/>
      <c r="J303" s="152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ht="14.25" customHeight="1">
      <c r="A304" s="147"/>
      <c r="B304" s="148"/>
      <c r="C304" s="149"/>
      <c r="D304" s="150"/>
      <c r="E304" s="150"/>
      <c r="F304" s="151"/>
      <c r="G304" s="152"/>
      <c r="H304" s="152"/>
      <c r="I304" s="152"/>
      <c r="J304" s="152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ht="14.25" customHeight="1">
      <c r="A305" s="147"/>
      <c r="B305" s="148"/>
      <c r="C305" s="149"/>
      <c r="D305" s="150"/>
      <c r="E305" s="150"/>
      <c r="F305" s="151"/>
      <c r="G305" s="152"/>
      <c r="H305" s="152"/>
      <c r="I305" s="152"/>
      <c r="J305" s="152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ht="14.25" customHeight="1">
      <c r="A306" s="147"/>
      <c r="B306" s="148"/>
      <c r="C306" s="149"/>
      <c r="D306" s="150"/>
      <c r="E306" s="150"/>
      <c r="F306" s="151"/>
      <c r="G306" s="152"/>
      <c r="H306" s="152"/>
      <c r="I306" s="152"/>
      <c r="J306" s="152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ht="14.25" customHeight="1">
      <c r="A307" s="147"/>
      <c r="B307" s="148"/>
      <c r="C307" s="149"/>
      <c r="D307" s="150"/>
      <c r="E307" s="150"/>
      <c r="F307" s="151"/>
      <c r="G307" s="152"/>
      <c r="H307" s="152"/>
      <c r="I307" s="152"/>
      <c r="J307" s="152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ht="14.25" customHeight="1">
      <c r="A308" s="147"/>
      <c r="B308" s="148"/>
      <c r="C308" s="149"/>
      <c r="D308" s="150"/>
      <c r="E308" s="150"/>
      <c r="F308" s="151"/>
      <c r="G308" s="152"/>
      <c r="H308" s="152"/>
      <c r="I308" s="152"/>
      <c r="J308" s="152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ht="14.25" customHeight="1">
      <c r="A309" s="147"/>
      <c r="B309" s="148"/>
      <c r="C309" s="149"/>
      <c r="D309" s="150"/>
      <c r="E309" s="150"/>
      <c r="F309" s="151"/>
      <c r="G309" s="152"/>
      <c r="H309" s="152"/>
      <c r="I309" s="152"/>
      <c r="J309" s="152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ht="14.25" customHeight="1">
      <c r="A310" s="147"/>
      <c r="B310" s="148"/>
      <c r="C310" s="149"/>
      <c r="D310" s="150"/>
      <c r="E310" s="150"/>
      <c r="F310" s="151"/>
      <c r="G310" s="152"/>
      <c r="H310" s="152"/>
      <c r="I310" s="152"/>
      <c r="J310" s="152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ht="14.25" customHeight="1">
      <c r="A311" s="147"/>
      <c r="B311" s="148"/>
      <c r="C311" s="149"/>
      <c r="D311" s="150"/>
      <c r="E311" s="150"/>
      <c r="F311" s="151"/>
      <c r="G311" s="152"/>
      <c r="H311" s="152"/>
      <c r="I311" s="152"/>
      <c r="J311" s="152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ht="14.25" customHeight="1">
      <c r="A312" s="147"/>
      <c r="B312" s="148"/>
      <c r="C312" s="149"/>
      <c r="D312" s="150"/>
      <c r="E312" s="150"/>
      <c r="F312" s="151"/>
      <c r="G312" s="152"/>
      <c r="H312" s="152"/>
      <c r="I312" s="152"/>
      <c r="J312" s="152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ht="14.25" customHeight="1">
      <c r="A313" s="147"/>
      <c r="B313" s="148"/>
      <c r="C313" s="149"/>
      <c r="D313" s="150"/>
      <c r="E313" s="150"/>
      <c r="F313" s="151"/>
      <c r="G313" s="152"/>
      <c r="H313" s="152"/>
      <c r="I313" s="152"/>
      <c r="J313" s="152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ht="14.25" customHeight="1">
      <c r="A314" s="147"/>
      <c r="B314" s="148"/>
      <c r="C314" s="149"/>
      <c r="D314" s="150"/>
      <c r="E314" s="150"/>
      <c r="F314" s="151"/>
      <c r="G314" s="152"/>
      <c r="H314" s="152"/>
      <c r="I314" s="152"/>
      <c r="J314" s="152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ht="14.25" customHeight="1">
      <c r="A315" s="147"/>
      <c r="B315" s="148"/>
      <c r="C315" s="149"/>
      <c r="D315" s="150"/>
      <c r="E315" s="150"/>
      <c r="F315" s="151"/>
      <c r="G315" s="152"/>
      <c r="H315" s="152"/>
      <c r="I315" s="152"/>
      <c r="J315" s="152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ht="14.25" customHeight="1">
      <c r="A316" s="147"/>
      <c r="B316" s="148"/>
      <c r="C316" s="149"/>
      <c r="D316" s="150"/>
      <c r="E316" s="150"/>
      <c r="F316" s="151"/>
      <c r="G316" s="152"/>
      <c r="H316" s="152"/>
      <c r="I316" s="152"/>
      <c r="J316" s="152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ht="14.25" customHeight="1">
      <c r="A317" s="147"/>
      <c r="B317" s="148"/>
      <c r="C317" s="149"/>
      <c r="D317" s="150"/>
      <c r="E317" s="150"/>
      <c r="F317" s="151"/>
      <c r="G317" s="152"/>
      <c r="H317" s="152"/>
      <c r="I317" s="152"/>
      <c r="J317" s="152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ht="14.25" customHeight="1">
      <c r="A318" s="147"/>
      <c r="B318" s="148"/>
      <c r="C318" s="149"/>
      <c r="D318" s="150"/>
      <c r="E318" s="150"/>
      <c r="F318" s="151"/>
      <c r="G318" s="152"/>
      <c r="H318" s="152"/>
      <c r="I318" s="152"/>
      <c r="J318" s="152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ht="14.25" customHeight="1">
      <c r="A319" s="147"/>
      <c r="B319" s="148"/>
      <c r="C319" s="149"/>
      <c r="D319" s="150"/>
      <c r="E319" s="150"/>
      <c r="F319" s="151"/>
      <c r="G319" s="152"/>
      <c r="H319" s="152"/>
      <c r="I319" s="152"/>
      <c r="J319" s="152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ht="14.25" customHeight="1">
      <c r="A320" s="147"/>
      <c r="B320" s="148"/>
      <c r="C320" s="149"/>
      <c r="D320" s="150"/>
      <c r="E320" s="150"/>
      <c r="F320" s="151"/>
      <c r="G320" s="152"/>
      <c r="H320" s="152"/>
      <c r="I320" s="152"/>
      <c r="J320" s="152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ht="14.25" customHeight="1">
      <c r="A321" s="147"/>
      <c r="B321" s="148"/>
      <c r="C321" s="149"/>
      <c r="D321" s="150"/>
      <c r="E321" s="150"/>
      <c r="F321" s="151"/>
      <c r="G321" s="152"/>
      <c r="H321" s="152"/>
      <c r="I321" s="152"/>
      <c r="J321" s="152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ht="14.25" customHeight="1">
      <c r="A322" s="147"/>
      <c r="B322" s="148"/>
      <c r="C322" s="149"/>
      <c r="D322" s="150"/>
      <c r="E322" s="150"/>
      <c r="F322" s="151"/>
      <c r="G322" s="152"/>
      <c r="H322" s="152"/>
      <c r="I322" s="152"/>
      <c r="J322" s="152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ht="14.25" customHeight="1">
      <c r="A323" s="147"/>
      <c r="B323" s="148"/>
      <c r="C323" s="149"/>
      <c r="D323" s="150"/>
      <c r="E323" s="150"/>
      <c r="F323" s="151"/>
      <c r="G323" s="152"/>
      <c r="H323" s="152"/>
      <c r="I323" s="152"/>
      <c r="J323" s="152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ht="14.25" customHeight="1">
      <c r="A324" s="147"/>
      <c r="B324" s="148"/>
      <c r="C324" s="149"/>
      <c r="D324" s="150"/>
      <c r="E324" s="150"/>
      <c r="F324" s="151"/>
      <c r="G324" s="152"/>
      <c r="H324" s="152"/>
      <c r="I324" s="152"/>
      <c r="J324" s="152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ht="14.25" customHeight="1">
      <c r="A325" s="147"/>
      <c r="B325" s="148"/>
      <c r="C325" s="149"/>
      <c r="D325" s="150"/>
      <c r="E325" s="150"/>
      <c r="F325" s="151"/>
      <c r="G325" s="152"/>
      <c r="H325" s="152"/>
      <c r="I325" s="152"/>
      <c r="J325" s="152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ht="14.25" customHeight="1">
      <c r="A326" s="147"/>
      <c r="B326" s="148"/>
      <c r="C326" s="149"/>
      <c r="D326" s="150"/>
      <c r="E326" s="150"/>
      <c r="F326" s="151"/>
      <c r="G326" s="152"/>
      <c r="H326" s="152"/>
      <c r="I326" s="152"/>
      <c r="J326" s="152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ht="14.25" customHeight="1">
      <c r="A327" s="147"/>
      <c r="B327" s="148"/>
      <c r="C327" s="149"/>
      <c r="D327" s="150"/>
      <c r="E327" s="150"/>
      <c r="F327" s="151"/>
      <c r="G327" s="152"/>
      <c r="H327" s="152"/>
      <c r="I327" s="152"/>
      <c r="J327" s="152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ht="14.25" customHeight="1">
      <c r="A328" s="147"/>
      <c r="B328" s="148"/>
      <c r="C328" s="149"/>
      <c r="D328" s="150"/>
      <c r="E328" s="150"/>
      <c r="F328" s="151"/>
      <c r="G328" s="152"/>
      <c r="H328" s="152"/>
      <c r="I328" s="152"/>
      <c r="J328" s="152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ht="14.25" customHeight="1">
      <c r="A329" s="147"/>
      <c r="B329" s="148"/>
      <c r="C329" s="149"/>
      <c r="D329" s="150"/>
      <c r="E329" s="150"/>
      <c r="F329" s="151"/>
      <c r="G329" s="152"/>
      <c r="H329" s="152"/>
      <c r="I329" s="152"/>
      <c r="J329" s="152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ht="14.25" customHeight="1">
      <c r="A330" s="147"/>
      <c r="B330" s="148"/>
      <c r="C330" s="149"/>
      <c r="D330" s="150"/>
      <c r="E330" s="150"/>
      <c r="F330" s="151"/>
      <c r="G330" s="152"/>
      <c r="H330" s="152"/>
      <c r="I330" s="152"/>
      <c r="J330" s="152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ht="14.25" customHeight="1">
      <c r="A331" s="147"/>
      <c r="B331" s="148"/>
      <c r="C331" s="149"/>
      <c r="D331" s="150"/>
      <c r="E331" s="150"/>
      <c r="F331" s="151"/>
      <c r="G331" s="152"/>
      <c r="H331" s="152"/>
      <c r="I331" s="152"/>
      <c r="J331" s="152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ht="14.25" customHeight="1">
      <c r="A332" s="147"/>
      <c r="B332" s="148"/>
      <c r="C332" s="149"/>
      <c r="D332" s="150"/>
      <c r="E332" s="150"/>
      <c r="F332" s="151"/>
      <c r="G332" s="152"/>
      <c r="H332" s="152"/>
      <c r="I332" s="152"/>
      <c r="J332" s="152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ht="14.25" customHeight="1">
      <c r="A333" s="147"/>
      <c r="B333" s="148"/>
      <c r="C333" s="149"/>
      <c r="D333" s="150"/>
      <c r="E333" s="150"/>
      <c r="F333" s="151"/>
      <c r="G333" s="152"/>
      <c r="H333" s="152"/>
      <c r="I333" s="152"/>
      <c r="J333" s="152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ht="14.25" customHeight="1">
      <c r="A334" s="147"/>
      <c r="B334" s="148"/>
      <c r="C334" s="149"/>
      <c r="D334" s="150"/>
      <c r="E334" s="150"/>
      <c r="F334" s="151"/>
      <c r="G334" s="152"/>
      <c r="H334" s="152"/>
      <c r="I334" s="152"/>
      <c r="J334" s="152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ht="14.25" customHeight="1">
      <c r="A335" s="147"/>
      <c r="B335" s="148"/>
      <c r="C335" s="149"/>
      <c r="D335" s="150"/>
      <c r="E335" s="150"/>
      <c r="F335" s="151"/>
      <c r="G335" s="152"/>
      <c r="H335" s="152"/>
      <c r="I335" s="152"/>
      <c r="J335" s="152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ht="14.25" customHeight="1">
      <c r="A336" s="147"/>
      <c r="B336" s="148"/>
      <c r="C336" s="149"/>
      <c r="D336" s="150"/>
      <c r="E336" s="150"/>
      <c r="F336" s="151"/>
      <c r="G336" s="152"/>
      <c r="H336" s="152"/>
      <c r="I336" s="152"/>
      <c r="J336" s="152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ht="14.25" customHeight="1">
      <c r="A337" s="147"/>
      <c r="B337" s="148"/>
      <c r="C337" s="149"/>
      <c r="D337" s="150"/>
      <c r="E337" s="150"/>
      <c r="F337" s="151"/>
      <c r="G337" s="152"/>
      <c r="H337" s="152"/>
      <c r="I337" s="152"/>
      <c r="J337" s="152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ht="14.25" customHeight="1">
      <c r="A338" s="147"/>
      <c r="B338" s="148"/>
      <c r="C338" s="149"/>
      <c r="D338" s="150"/>
      <c r="E338" s="150"/>
      <c r="F338" s="151"/>
      <c r="G338" s="152"/>
      <c r="H338" s="152"/>
      <c r="I338" s="152"/>
      <c r="J338" s="152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ht="14.25" customHeight="1">
      <c r="A339" s="147"/>
      <c r="B339" s="148"/>
      <c r="C339" s="149"/>
      <c r="D339" s="150"/>
      <c r="E339" s="150"/>
      <c r="F339" s="151"/>
      <c r="G339" s="152"/>
      <c r="H339" s="152"/>
      <c r="I339" s="152"/>
      <c r="J339" s="152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ht="14.25" customHeight="1">
      <c r="A340" s="147"/>
      <c r="B340" s="148"/>
      <c r="C340" s="149"/>
      <c r="D340" s="150"/>
      <c r="E340" s="150"/>
      <c r="F340" s="151"/>
      <c r="G340" s="152"/>
      <c r="H340" s="152"/>
      <c r="I340" s="152"/>
      <c r="J340" s="152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ht="14.25" customHeight="1">
      <c r="A341" s="147"/>
      <c r="B341" s="148"/>
      <c r="C341" s="149"/>
      <c r="D341" s="150"/>
      <c r="E341" s="150"/>
      <c r="F341" s="151"/>
      <c r="G341" s="152"/>
      <c r="H341" s="152"/>
      <c r="I341" s="152"/>
      <c r="J341" s="152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ht="14.25" customHeight="1">
      <c r="A342" s="147"/>
      <c r="B342" s="148"/>
      <c r="C342" s="149"/>
      <c r="D342" s="150"/>
      <c r="E342" s="150"/>
      <c r="F342" s="151"/>
      <c r="G342" s="152"/>
      <c r="H342" s="152"/>
      <c r="I342" s="152"/>
      <c r="J342" s="152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ht="14.25" customHeight="1">
      <c r="A343" s="147"/>
      <c r="B343" s="148"/>
      <c r="C343" s="149"/>
      <c r="D343" s="150"/>
      <c r="E343" s="150"/>
      <c r="F343" s="151"/>
      <c r="G343" s="152"/>
      <c r="H343" s="152"/>
      <c r="I343" s="152"/>
      <c r="J343" s="152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ht="14.25" customHeight="1">
      <c r="A344" s="147"/>
      <c r="B344" s="148"/>
      <c r="C344" s="149"/>
      <c r="D344" s="150"/>
      <c r="E344" s="150"/>
      <c r="F344" s="151"/>
      <c r="G344" s="152"/>
      <c r="H344" s="152"/>
      <c r="I344" s="152"/>
      <c r="J344" s="152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ht="14.25" customHeight="1">
      <c r="A345" s="147"/>
      <c r="B345" s="148"/>
      <c r="C345" s="149"/>
      <c r="D345" s="150"/>
      <c r="E345" s="150"/>
      <c r="F345" s="151"/>
      <c r="G345" s="152"/>
      <c r="H345" s="152"/>
      <c r="I345" s="152"/>
      <c r="J345" s="152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ht="14.25" customHeight="1">
      <c r="A346" s="147"/>
      <c r="B346" s="148"/>
      <c r="C346" s="149"/>
      <c r="D346" s="150"/>
      <c r="E346" s="150"/>
      <c r="F346" s="151"/>
      <c r="G346" s="152"/>
      <c r="H346" s="152"/>
      <c r="I346" s="152"/>
      <c r="J346" s="152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ht="14.25" customHeight="1">
      <c r="A347" s="147"/>
      <c r="B347" s="148"/>
      <c r="C347" s="149"/>
      <c r="D347" s="150"/>
      <c r="E347" s="150"/>
      <c r="F347" s="151"/>
      <c r="G347" s="152"/>
      <c r="H347" s="152"/>
      <c r="I347" s="152"/>
      <c r="J347" s="152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ht="14.25" customHeight="1">
      <c r="A348" s="147"/>
      <c r="B348" s="148"/>
      <c r="C348" s="149"/>
      <c r="D348" s="150"/>
      <c r="E348" s="150"/>
      <c r="F348" s="151"/>
      <c r="G348" s="152"/>
      <c r="H348" s="152"/>
      <c r="I348" s="152"/>
      <c r="J348" s="152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ht="14.25" customHeight="1">
      <c r="A349" s="147"/>
      <c r="B349" s="148"/>
      <c r="C349" s="149"/>
      <c r="D349" s="150"/>
      <c r="E349" s="150"/>
      <c r="F349" s="151"/>
      <c r="G349" s="152"/>
      <c r="H349" s="152"/>
      <c r="I349" s="152"/>
      <c r="J349" s="152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ht="14.25" customHeight="1">
      <c r="A350" s="147"/>
      <c r="B350" s="148"/>
      <c r="C350" s="149"/>
      <c r="D350" s="150"/>
      <c r="E350" s="150"/>
      <c r="F350" s="151"/>
      <c r="G350" s="152"/>
      <c r="H350" s="152"/>
      <c r="I350" s="152"/>
      <c r="J350" s="152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ht="14.25" customHeight="1">
      <c r="A351" s="147"/>
      <c r="B351" s="148"/>
      <c r="C351" s="149"/>
      <c r="D351" s="150"/>
      <c r="E351" s="150"/>
      <c r="F351" s="151"/>
      <c r="G351" s="152"/>
      <c r="H351" s="152"/>
      <c r="I351" s="152"/>
      <c r="J351" s="152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ht="14.25" customHeight="1">
      <c r="A352" s="147"/>
      <c r="B352" s="148"/>
      <c r="C352" s="149"/>
      <c r="D352" s="150"/>
      <c r="E352" s="150"/>
      <c r="F352" s="151"/>
      <c r="G352" s="152"/>
      <c r="H352" s="152"/>
      <c r="I352" s="152"/>
      <c r="J352" s="152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ht="14.25" customHeight="1">
      <c r="A353" s="147"/>
      <c r="B353" s="148"/>
      <c r="C353" s="149"/>
      <c r="D353" s="150"/>
      <c r="E353" s="150"/>
      <c r="F353" s="151"/>
      <c r="G353" s="152"/>
      <c r="H353" s="152"/>
      <c r="I353" s="152"/>
      <c r="J353" s="152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ht="14.25" customHeight="1">
      <c r="A354" s="147"/>
      <c r="B354" s="148"/>
      <c r="C354" s="149"/>
      <c r="D354" s="150"/>
      <c r="E354" s="150"/>
      <c r="F354" s="151"/>
      <c r="G354" s="152"/>
      <c r="H354" s="152"/>
      <c r="I354" s="152"/>
      <c r="J354" s="152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ht="14.25" customHeight="1">
      <c r="A355" s="147"/>
      <c r="B355" s="148"/>
      <c r="C355" s="149"/>
      <c r="D355" s="150"/>
      <c r="E355" s="150"/>
      <c r="F355" s="151"/>
      <c r="G355" s="152"/>
      <c r="H355" s="152"/>
      <c r="I355" s="152"/>
      <c r="J355" s="152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ht="14.25" customHeight="1">
      <c r="A356" s="147"/>
      <c r="B356" s="148"/>
      <c r="C356" s="149"/>
      <c r="D356" s="150"/>
      <c r="E356" s="150"/>
      <c r="F356" s="151"/>
      <c r="G356" s="152"/>
      <c r="H356" s="152"/>
      <c r="I356" s="152"/>
      <c r="J356" s="152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ht="14.25" customHeight="1">
      <c r="A357" s="147"/>
      <c r="B357" s="148"/>
      <c r="C357" s="149"/>
      <c r="D357" s="150"/>
      <c r="E357" s="150"/>
      <c r="F357" s="151"/>
      <c r="G357" s="152"/>
      <c r="H357" s="152"/>
      <c r="I357" s="152"/>
      <c r="J357" s="152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ht="14.25" customHeight="1">
      <c r="A358" s="147"/>
      <c r="B358" s="148"/>
      <c r="C358" s="149"/>
      <c r="D358" s="150"/>
      <c r="E358" s="150"/>
      <c r="F358" s="151"/>
      <c r="G358" s="152"/>
      <c r="H358" s="152"/>
      <c r="I358" s="152"/>
      <c r="J358" s="152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ht="14.25" customHeight="1">
      <c r="A359" s="147"/>
      <c r="B359" s="148"/>
      <c r="C359" s="149"/>
      <c r="D359" s="150"/>
      <c r="E359" s="150"/>
      <c r="F359" s="151"/>
      <c r="G359" s="152"/>
      <c r="H359" s="152"/>
      <c r="I359" s="152"/>
      <c r="J359" s="152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ht="14.25" customHeight="1">
      <c r="A360" s="147"/>
      <c r="B360" s="148"/>
      <c r="C360" s="149"/>
      <c r="D360" s="150"/>
      <c r="E360" s="150"/>
      <c r="F360" s="151"/>
      <c r="G360" s="152"/>
      <c r="H360" s="152"/>
      <c r="I360" s="152"/>
      <c r="J360" s="152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ht="14.25" customHeight="1">
      <c r="A361" s="147"/>
      <c r="B361" s="148"/>
      <c r="C361" s="149"/>
      <c r="D361" s="150"/>
      <c r="E361" s="150"/>
      <c r="F361" s="151"/>
      <c r="G361" s="152"/>
      <c r="H361" s="152"/>
      <c r="I361" s="152"/>
      <c r="J361" s="152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ht="14.25" customHeight="1">
      <c r="A362" s="147"/>
      <c r="B362" s="148"/>
      <c r="C362" s="149"/>
      <c r="D362" s="150"/>
      <c r="E362" s="150"/>
      <c r="F362" s="151"/>
      <c r="G362" s="152"/>
      <c r="H362" s="152"/>
      <c r="I362" s="152"/>
      <c r="J362" s="152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ht="14.25" customHeight="1">
      <c r="A363" s="147"/>
      <c r="B363" s="148"/>
      <c r="C363" s="149"/>
      <c r="D363" s="150"/>
      <c r="E363" s="150"/>
      <c r="F363" s="151"/>
      <c r="G363" s="152"/>
      <c r="H363" s="152"/>
      <c r="I363" s="152"/>
      <c r="J363" s="152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ht="14.25" customHeight="1">
      <c r="A364" s="147"/>
      <c r="B364" s="148"/>
      <c r="C364" s="149"/>
      <c r="D364" s="150"/>
      <c r="E364" s="150"/>
      <c r="F364" s="151"/>
      <c r="G364" s="152"/>
      <c r="H364" s="152"/>
      <c r="I364" s="152"/>
      <c r="J364" s="152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ht="14.25" customHeight="1">
      <c r="A365" s="147"/>
      <c r="B365" s="148"/>
      <c r="C365" s="149"/>
      <c r="D365" s="150"/>
      <c r="E365" s="150"/>
      <c r="F365" s="151"/>
      <c r="G365" s="152"/>
      <c r="H365" s="152"/>
      <c r="I365" s="152"/>
      <c r="J365" s="152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ht="14.25" customHeight="1">
      <c r="A366" s="147"/>
      <c r="B366" s="148"/>
      <c r="C366" s="149"/>
      <c r="D366" s="150"/>
      <c r="E366" s="150"/>
      <c r="F366" s="151"/>
      <c r="G366" s="152"/>
      <c r="H366" s="152"/>
      <c r="I366" s="152"/>
      <c r="J366" s="152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ht="14.25" customHeight="1">
      <c r="A367" s="147"/>
      <c r="B367" s="148"/>
      <c r="C367" s="149"/>
      <c r="D367" s="150"/>
      <c r="E367" s="150"/>
      <c r="F367" s="151"/>
      <c r="G367" s="152"/>
      <c r="H367" s="152"/>
      <c r="I367" s="152"/>
      <c r="J367" s="152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ht="14.25" customHeight="1">
      <c r="A368" s="147"/>
      <c r="B368" s="148"/>
      <c r="C368" s="149"/>
      <c r="D368" s="150"/>
      <c r="E368" s="150"/>
      <c r="F368" s="151"/>
      <c r="G368" s="152"/>
      <c r="H368" s="152"/>
      <c r="I368" s="152"/>
      <c r="J368" s="152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ht="14.25" customHeight="1">
      <c r="A369" s="147"/>
      <c r="B369" s="148"/>
      <c r="C369" s="149"/>
      <c r="D369" s="150"/>
      <c r="E369" s="150"/>
      <c r="F369" s="151"/>
      <c r="G369" s="152"/>
      <c r="H369" s="152"/>
      <c r="I369" s="152"/>
      <c r="J369" s="152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ht="14.25" customHeight="1">
      <c r="A370" s="147"/>
      <c r="B370" s="148"/>
      <c r="C370" s="149"/>
      <c r="D370" s="150"/>
      <c r="E370" s="150"/>
      <c r="F370" s="151"/>
      <c r="G370" s="152"/>
      <c r="H370" s="152"/>
      <c r="I370" s="152"/>
      <c r="J370" s="152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ht="14.25" customHeight="1">
      <c r="A371" s="147"/>
      <c r="B371" s="148"/>
      <c r="C371" s="149"/>
      <c r="D371" s="150"/>
      <c r="E371" s="150"/>
      <c r="F371" s="151"/>
      <c r="G371" s="152"/>
      <c r="H371" s="152"/>
      <c r="I371" s="152"/>
      <c r="J371" s="152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ht="14.25" customHeight="1">
      <c r="A372" s="147"/>
      <c r="B372" s="148"/>
      <c r="C372" s="149"/>
      <c r="D372" s="150"/>
      <c r="E372" s="150"/>
      <c r="F372" s="151"/>
      <c r="G372" s="152"/>
      <c r="H372" s="152"/>
      <c r="I372" s="152"/>
      <c r="J372" s="152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</sheetData>
  <autoFilter ref="$A$6:$Z$6">
    <sortState ref="A6:Z6">
      <sortCondition ref="B6"/>
    </sortState>
  </autoFilter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71"/>
    <col customWidth="1" min="6" max="6" width="9.86"/>
    <col customWidth="1" min="7" max="17" width="8.71"/>
  </cols>
  <sheetData>
    <row r="1" ht="14.25" customHeight="1">
      <c r="A1" s="115">
        <v>0.7968471641377171</v>
      </c>
      <c r="B1" s="115">
        <v>3.0</v>
      </c>
      <c r="C1" s="115">
        <v>0.5</v>
      </c>
      <c r="D1" s="115">
        <v>0.0</v>
      </c>
      <c r="E1" s="115">
        <v>0.0</v>
      </c>
      <c r="F1" s="115">
        <v>0.26228131491393386</v>
      </c>
    </row>
    <row r="2" ht="14.25" customHeight="1">
      <c r="A2" s="115">
        <v>0.9152392638848016</v>
      </c>
      <c r="B2" s="115">
        <v>3.0</v>
      </c>
      <c r="C2" s="115">
        <v>0.3333333333333333</v>
      </c>
      <c r="D2" s="115">
        <v>0.0</v>
      </c>
      <c r="E2" s="115">
        <v>6.780847090541939E-6</v>
      </c>
      <c r="F2" s="115">
        <v>0.21394419221723512</v>
      </c>
    </row>
    <row r="3" ht="14.25" customHeight="1">
      <c r="A3" s="115">
        <v>0.5318543306204202</v>
      </c>
      <c r="B3" s="115">
        <v>3.0</v>
      </c>
      <c r="C3" s="115">
        <v>0.6</v>
      </c>
      <c r="D3" s="115">
        <v>0.0</v>
      </c>
      <c r="E3" s="115">
        <v>0.015684491645567417</v>
      </c>
      <c r="F3" s="115">
        <v>0.1848469309510599</v>
      </c>
    </row>
    <row r="4" ht="14.25" customHeight="1">
      <c r="A4" s="115">
        <v>0.8169222011373884</v>
      </c>
      <c r="B4" s="115">
        <v>3.0</v>
      </c>
      <c r="C4" s="115">
        <v>0.375</v>
      </c>
      <c r="D4" s="115">
        <v>0.2</v>
      </c>
      <c r="E4" s="115">
        <v>0.09894075438923439</v>
      </c>
      <c r="F4" s="115">
        <v>0.3869420462514994</v>
      </c>
    </row>
    <row r="5" ht="14.25" customHeight="1">
      <c r="A5" s="115">
        <v>0.5414375</v>
      </c>
      <c r="B5" s="115">
        <v>3.0</v>
      </c>
      <c r="C5" s="115">
        <v>0.3333333333333333</v>
      </c>
      <c r="D5" s="115">
        <v>0.0</v>
      </c>
      <c r="E5" s="115">
        <v>9.163E-4</v>
      </c>
      <c r="F5" s="115">
        <v>0.19481752543687408</v>
      </c>
    </row>
    <row r="6" ht="14.25" customHeight="1">
      <c r="A6" s="115">
        <v>0.0019055734919286322</v>
      </c>
      <c r="B6" s="115">
        <v>3.0</v>
      </c>
      <c r="C6" s="115">
        <v>0.5</v>
      </c>
      <c r="D6" s="115">
        <v>0.0</v>
      </c>
      <c r="E6" s="115">
        <v>0.008623619371282922</v>
      </c>
      <c r="F6" s="115">
        <v>0.21217634719685716</v>
      </c>
    </row>
    <row r="7" ht="14.25" customHeight="1">
      <c r="A7" s="115">
        <v>0.8702033613445378</v>
      </c>
      <c r="B7" s="115">
        <v>3.0</v>
      </c>
      <c r="C7" s="115">
        <v>0.3333333333333333</v>
      </c>
      <c r="D7" s="115">
        <v>0.3333333333333333</v>
      </c>
      <c r="E7" s="115">
        <v>0.0</v>
      </c>
      <c r="F7" s="115">
        <v>0.22053597059476188</v>
      </c>
    </row>
    <row r="8" ht="14.25" customHeight="1">
      <c r="A8" s="115">
        <v>0.7688</v>
      </c>
      <c r="B8" s="115">
        <v>3.0</v>
      </c>
      <c r="C8" s="115">
        <v>0.3333333333333333</v>
      </c>
      <c r="D8" s="115">
        <v>0.3333333333333333</v>
      </c>
      <c r="E8" s="115">
        <v>0.00878442382331567</v>
      </c>
      <c r="F8" s="115">
        <v>0.2140321000609366</v>
      </c>
    </row>
    <row r="9" ht="14.25" customHeight="1">
      <c r="A9" s="115">
        <v>0.1893169456171091</v>
      </c>
      <c r="B9" s="115">
        <v>3.0</v>
      </c>
      <c r="C9" s="115">
        <v>0.3333333333333333</v>
      </c>
      <c r="D9" s="115">
        <v>0.0</v>
      </c>
      <c r="E9" s="115">
        <v>0.7650503492073975</v>
      </c>
      <c r="F9" s="115">
        <v>0.21011834275457844</v>
      </c>
    </row>
    <row r="10" ht="14.25" customHeight="1">
      <c r="A10" s="115">
        <v>0.9928911022075863</v>
      </c>
      <c r="B10" s="115">
        <v>3.0</v>
      </c>
      <c r="C10" s="115">
        <v>0.3333333333333333</v>
      </c>
      <c r="D10" s="115">
        <v>0.16666666666666666</v>
      </c>
      <c r="E10" s="115">
        <v>0.0</v>
      </c>
      <c r="F10" s="115">
        <v>0.1714180790960452</v>
      </c>
    </row>
    <row r="11" ht="14.25" customHeight="1">
      <c r="A11" s="115">
        <v>0.8056326628833994</v>
      </c>
      <c r="B11" s="115">
        <v>3.0</v>
      </c>
      <c r="C11" s="115">
        <v>0.3333333333333333</v>
      </c>
      <c r="D11" s="115">
        <v>0.0</v>
      </c>
      <c r="E11" s="115">
        <v>1.9052788337479195E-4</v>
      </c>
      <c r="F11" s="115">
        <v>0.21545106874857084</v>
      </c>
    </row>
    <row r="12" ht="14.25" customHeight="1">
      <c r="A12" s="115">
        <v>0.9118223912195121</v>
      </c>
      <c r="B12" s="115">
        <v>3.0</v>
      </c>
      <c r="C12" s="115">
        <v>0.3333333333333333</v>
      </c>
      <c r="D12" s="115">
        <v>0.0</v>
      </c>
      <c r="E12" s="115">
        <v>0.0</v>
      </c>
      <c r="F12" s="115">
        <v>0.23545600797937674</v>
      </c>
    </row>
    <row r="13" ht="14.25" customHeight="1">
      <c r="A13" s="115">
        <v>0.6694558064384584</v>
      </c>
      <c r="B13" s="115">
        <v>3.0</v>
      </c>
      <c r="C13" s="115">
        <v>0.4</v>
      </c>
      <c r="D13" s="115">
        <v>0.0</v>
      </c>
      <c r="E13" s="115">
        <v>0.0</v>
      </c>
      <c r="F13" s="115">
        <v>0.21802620943031287</v>
      </c>
    </row>
    <row r="14" ht="14.25" customHeight="1">
      <c r="A14" s="115">
        <v>0.2061426656931787</v>
      </c>
      <c r="B14" s="115">
        <v>3.0</v>
      </c>
      <c r="C14" s="115">
        <v>0.6</v>
      </c>
      <c r="D14" s="115">
        <v>0.0</v>
      </c>
      <c r="E14" s="115">
        <v>0.39634833089873334</v>
      </c>
      <c r="F14" s="115">
        <v>0.2339130870633051</v>
      </c>
    </row>
    <row r="15" ht="14.25" customHeight="1">
      <c r="A15" s="115">
        <v>0.6929469874438349</v>
      </c>
      <c r="B15" s="115">
        <v>3.0</v>
      </c>
      <c r="C15" s="115">
        <v>0.4</v>
      </c>
      <c r="D15" s="115">
        <v>0.25</v>
      </c>
      <c r="E15" s="115">
        <v>0.0</v>
      </c>
      <c r="F15" s="115">
        <v>0.17006748067342814</v>
      </c>
    </row>
    <row r="16" ht="14.25" customHeight="1">
      <c r="A16" s="115">
        <v>0.755938630747944</v>
      </c>
      <c r="B16" s="115">
        <v>3.0</v>
      </c>
      <c r="C16" s="115">
        <v>0.3333333333333333</v>
      </c>
      <c r="D16" s="115">
        <v>0.3333333333333333</v>
      </c>
      <c r="E16" s="115">
        <v>0.09176716627409479</v>
      </c>
      <c r="F16" s="115">
        <v>0.25067319659079335</v>
      </c>
    </row>
    <row r="17" ht="14.25" customHeight="1">
      <c r="A17" s="115">
        <v>0.9793414809646169</v>
      </c>
      <c r="B17" s="115">
        <v>3.0</v>
      </c>
      <c r="C17" s="115">
        <v>0.3333333333333333</v>
      </c>
      <c r="D17" s="115">
        <v>0.0</v>
      </c>
      <c r="E17" s="115">
        <v>0.0017122496898812688</v>
      </c>
      <c r="F17" s="115">
        <v>0.23158417918342408</v>
      </c>
    </row>
    <row r="18" ht="14.25" customHeight="1">
      <c r="A18" s="115">
        <v>0.8499999917341978</v>
      </c>
      <c r="B18" s="115">
        <v>3.0</v>
      </c>
      <c r="C18" s="115">
        <v>0.5</v>
      </c>
      <c r="D18" s="115">
        <v>0.0</v>
      </c>
      <c r="E18" s="115">
        <v>0.0</v>
      </c>
      <c r="F18" s="115">
        <v>0.24593617054524639</v>
      </c>
    </row>
    <row r="19" ht="14.25" customHeight="1">
      <c r="A19" s="115">
        <v>0.8947627083333334</v>
      </c>
      <c r="B19" s="115">
        <v>3.0</v>
      </c>
      <c r="C19" s="115">
        <v>0.5</v>
      </c>
      <c r="D19" s="115">
        <v>0.2</v>
      </c>
      <c r="E19" s="115">
        <v>0.0</v>
      </c>
      <c r="F19" s="115">
        <v>0.22200838925474645</v>
      </c>
    </row>
    <row r="20" ht="14.25" customHeight="1">
      <c r="A20" s="115">
        <v>0.91</v>
      </c>
      <c r="B20" s="115">
        <v>3.0</v>
      </c>
      <c r="C20" s="115">
        <v>0.5</v>
      </c>
      <c r="D20" s="115">
        <v>0.0</v>
      </c>
      <c r="E20" s="115">
        <v>0.006728865831500431</v>
      </c>
      <c r="F20" s="115">
        <v>0.2377002627984317</v>
      </c>
    </row>
    <row r="21" ht="14.25" customHeight="1">
      <c r="A21" s="115">
        <v>0.517231315398124</v>
      </c>
      <c r="B21" s="115">
        <v>3.0</v>
      </c>
      <c r="C21" s="115">
        <v>0.3333333333333333</v>
      </c>
      <c r="D21" s="115">
        <v>0.0</v>
      </c>
      <c r="E21" s="115">
        <v>0.09230400146614517</v>
      </c>
      <c r="F21" s="115">
        <v>0.22623225468889455</v>
      </c>
    </row>
    <row r="22" ht="14.25" customHeight="1">
      <c r="A22" s="115">
        <v>0.72746025</v>
      </c>
      <c r="B22" s="115">
        <v>3.0</v>
      </c>
      <c r="C22" s="115">
        <v>0.3333333333333333</v>
      </c>
      <c r="D22" s="115">
        <v>0.0</v>
      </c>
      <c r="E22" s="115">
        <v>0.26691018333333333</v>
      </c>
      <c r="F22" s="115">
        <v>0.18699936733971712</v>
      </c>
    </row>
    <row r="23" ht="14.25" customHeight="1">
      <c r="A23" s="115">
        <v>0.9536358438797401</v>
      </c>
      <c r="B23" s="115">
        <v>3.0</v>
      </c>
      <c r="C23" s="115">
        <v>0.5</v>
      </c>
      <c r="D23" s="115">
        <v>0.42857142857142855</v>
      </c>
      <c r="E23" s="115">
        <v>0.0</v>
      </c>
      <c r="F23" s="115">
        <v>0.23562203533179202</v>
      </c>
    </row>
    <row r="24" ht="14.25" customHeight="1">
      <c r="A24" s="115">
        <v>0.8053294538080733</v>
      </c>
      <c r="B24" s="115">
        <v>3.0</v>
      </c>
      <c r="C24" s="115">
        <v>0.5</v>
      </c>
      <c r="D24" s="115">
        <v>0.0625</v>
      </c>
      <c r="E24" s="115">
        <v>0.0</v>
      </c>
      <c r="F24" s="115">
        <v>0.2396144516194188</v>
      </c>
    </row>
    <row r="25" ht="14.25" customHeight="1">
      <c r="A25" s="115">
        <v>0.9658999999601386</v>
      </c>
      <c r="B25" s="115">
        <v>3.0</v>
      </c>
      <c r="C25" s="115">
        <v>0.375</v>
      </c>
      <c r="D25" s="115">
        <v>0.10526315789473684</v>
      </c>
      <c r="E25" s="115">
        <v>1.571700417969446E-4</v>
      </c>
      <c r="F25" s="115">
        <v>0.25377511463202684</v>
      </c>
    </row>
    <row r="26" ht="14.25" customHeight="1">
      <c r="A26" s="115">
        <v>0.07015902712815715</v>
      </c>
      <c r="B26" s="115">
        <v>3.0</v>
      </c>
      <c r="C26" s="115">
        <v>0.5</v>
      </c>
      <c r="D26" s="115">
        <v>0.25</v>
      </c>
      <c r="E26" s="115">
        <v>0.638510927799983</v>
      </c>
      <c r="F26" s="115">
        <v>0.25797866165747757</v>
      </c>
    </row>
    <row r="27" ht="14.25" customHeight="1">
      <c r="A27" s="115">
        <v>0.8993096658008631</v>
      </c>
      <c r="B27" s="115">
        <v>3.0</v>
      </c>
      <c r="C27" s="115">
        <v>0.5</v>
      </c>
      <c r="D27" s="115">
        <v>0.0</v>
      </c>
      <c r="E27" s="115">
        <v>2.5453296881987054E-4</v>
      </c>
      <c r="F27" s="115">
        <v>0.2371916712415114</v>
      </c>
    </row>
    <row r="28" ht="14.25" customHeight="1">
      <c r="A28" s="115">
        <v>0.9060844</v>
      </c>
      <c r="B28" s="115">
        <v>3.0</v>
      </c>
      <c r="C28" s="115">
        <v>0.3333333333333333</v>
      </c>
      <c r="D28" s="115">
        <v>0.0</v>
      </c>
      <c r="E28" s="115">
        <v>0.0</v>
      </c>
      <c r="F28" s="115">
        <v>0.21955702448995265</v>
      </c>
    </row>
    <row r="29" ht="14.25" customHeight="1">
      <c r="A29" s="115">
        <v>0.76190476375</v>
      </c>
      <c r="B29" s="115">
        <v>3.0</v>
      </c>
      <c r="C29" s="115">
        <v>0.5</v>
      </c>
      <c r="D29" s="115">
        <v>0.25</v>
      </c>
      <c r="E29" s="115">
        <v>0.02803175875</v>
      </c>
      <c r="F29" s="115">
        <v>0.21631048672841346</v>
      </c>
    </row>
    <row r="30" ht="14.25" customHeight="1">
      <c r="A30" s="115">
        <v>0.5961901457055573</v>
      </c>
      <c r="B30" s="115">
        <v>3.0</v>
      </c>
      <c r="C30" s="115">
        <v>0.4</v>
      </c>
      <c r="D30" s="115">
        <v>0.1111111111111111</v>
      </c>
      <c r="E30" s="115">
        <v>3.108520823394116E-5</v>
      </c>
      <c r="F30" s="115">
        <v>0.193404881089188</v>
      </c>
    </row>
    <row r="31" ht="14.25" customHeight="1">
      <c r="A31" s="115">
        <v>0.572704921049693</v>
      </c>
      <c r="B31" s="115">
        <v>3.0</v>
      </c>
      <c r="C31" s="115">
        <v>0.6</v>
      </c>
      <c r="D31" s="115">
        <v>0.0</v>
      </c>
      <c r="E31" s="115">
        <v>0.003300993858179788</v>
      </c>
      <c r="F31" s="115">
        <v>0.1763020915313837</v>
      </c>
    </row>
    <row r="32" ht="14.25" customHeight="1">
      <c r="A32" s="115">
        <v>0.9585427253358627</v>
      </c>
      <c r="B32" s="115">
        <v>3.0</v>
      </c>
      <c r="C32" s="115">
        <v>0.5</v>
      </c>
      <c r="D32" s="115">
        <v>0.2</v>
      </c>
      <c r="E32" s="115">
        <v>0.0065051019080591445</v>
      </c>
      <c r="F32" s="115">
        <v>0.19372915492474058</v>
      </c>
    </row>
    <row r="33" ht="14.25" customHeight="1">
      <c r="A33" s="115">
        <v>0.8931898433792121</v>
      </c>
      <c r="B33" s="115">
        <v>3.0</v>
      </c>
      <c r="C33" s="115">
        <v>0.5</v>
      </c>
      <c r="D33" s="115">
        <v>0.5</v>
      </c>
      <c r="E33" s="115">
        <v>0.0</v>
      </c>
      <c r="F33" s="115">
        <v>0.2579898546876141</v>
      </c>
    </row>
    <row r="34" ht="14.25" customHeight="1">
      <c r="A34" s="115">
        <v>0.5856202741604056</v>
      </c>
      <c r="B34" s="115">
        <v>3.0</v>
      </c>
      <c r="C34" s="115">
        <v>0.4</v>
      </c>
      <c r="D34" s="115">
        <v>0.0</v>
      </c>
      <c r="E34" s="115">
        <v>4.667855807654317E-6</v>
      </c>
      <c r="F34" s="115">
        <v>1.6669652415179255</v>
      </c>
    </row>
    <row r="35" ht="14.25" customHeight="1">
      <c r="A35" s="115">
        <v>0.5907083858831151</v>
      </c>
      <c r="B35" s="115">
        <v>3.0</v>
      </c>
      <c r="C35" s="115">
        <v>0.4</v>
      </c>
      <c r="D35" s="115">
        <v>0.0</v>
      </c>
      <c r="E35" s="115">
        <v>0.2525240988717648</v>
      </c>
      <c r="F35" s="115">
        <v>0.2138789616556263</v>
      </c>
    </row>
    <row r="36" ht="14.25" customHeight="1">
      <c r="A36" s="115">
        <v>0.9989610043550116</v>
      </c>
      <c r="B36" s="115">
        <v>3.0</v>
      </c>
      <c r="C36" s="115">
        <v>0.5</v>
      </c>
      <c r="D36" s="115">
        <v>0.0</v>
      </c>
      <c r="E36" s="115">
        <v>0.0</v>
      </c>
      <c r="F36" s="115">
        <v>0.11451296496314255</v>
      </c>
    </row>
    <row r="37" ht="14.25" customHeight="1">
      <c r="A37" s="115">
        <v>0.8827834801061007</v>
      </c>
      <c r="B37" s="115">
        <v>3.0</v>
      </c>
      <c r="C37" s="115">
        <v>0.5</v>
      </c>
      <c r="D37" s="115">
        <v>0.42857142857142855</v>
      </c>
      <c r="E37" s="115">
        <v>0.08488063660477453</v>
      </c>
      <c r="F37" s="115">
        <v>0.19103751017904452</v>
      </c>
    </row>
    <row r="38" ht="14.25" customHeight="1">
      <c r="A38" s="115">
        <v>0.9948106385413101</v>
      </c>
      <c r="B38" s="115">
        <v>3.0</v>
      </c>
      <c r="C38" s="115">
        <v>0.3333333333333333</v>
      </c>
      <c r="D38" s="115">
        <v>0.6</v>
      </c>
      <c r="E38" s="115">
        <v>0.0</v>
      </c>
      <c r="F38" s="115">
        <v>0.24535481401163833</v>
      </c>
    </row>
    <row r="39" ht="14.25" customHeight="1">
      <c r="A39" s="115">
        <v>0.9254217103610675</v>
      </c>
      <c r="B39" s="115">
        <v>2.0</v>
      </c>
      <c r="C39" s="115">
        <v>0.8</v>
      </c>
      <c r="D39" s="115">
        <v>0.0</v>
      </c>
      <c r="E39" s="115">
        <v>0.0</v>
      </c>
      <c r="F39" s="115">
        <v>0.3290926719581874</v>
      </c>
    </row>
    <row r="40" ht="14.25" customHeight="1">
      <c r="A40" s="115">
        <v>0.935616637212131</v>
      </c>
      <c r="B40" s="115">
        <v>3.0</v>
      </c>
      <c r="C40" s="115">
        <v>0.6666666666666666</v>
      </c>
      <c r="D40" s="115">
        <v>0.0</v>
      </c>
      <c r="E40" s="115">
        <v>0.0</v>
      </c>
      <c r="F40" s="115">
        <v>0.2596765474463316</v>
      </c>
    </row>
    <row r="41" ht="14.25" customHeight="1">
      <c r="A41" s="115">
        <v>0.8758</v>
      </c>
      <c r="B41" s="115">
        <v>3.0</v>
      </c>
      <c r="C41" s="115">
        <v>0.3333333333333333</v>
      </c>
      <c r="D41" s="115">
        <v>0.1111111111111111</v>
      </c>
      <c r="E41" s="115">
        <v>5.93498226924047E-5</v>
      </c>
      <c r="F41" s="115">
        <v>0.3702070016262089</v>
      </c>
    </row>
    <row r="42" ht="14.25" customHeight="1">
      <c r="A42" s="115">
        <v>0.9776838045546772</v>
      </c>
      <c r="B42" s="115">
        <v>3.0</v>
      </c>
      <c r="C42" s="115">
        <v>0.3333333333333333</v>
      </c>
      <c r="D42" s="115">
        <v>0.2</v>
      </c>
      <c r="E42" s="115">
        <v>0.005296151014744322</v>
      </c>
      <c r="F42" s="115">
        <v>0.19011599043311347</v>
      </c>
    </row>
    <row r="43" ht="14.25" customHeight="1">
      <c r="A43" s="115">
        <v>0.9239968319737425</v>
      </c>
      <c r="B43" s="115">
        <v>3.0</v>
      </c>
      <c r="C43" s="115">
        <v>0.42857142857142855</v>
      </c>
      <c r="D43" s="115">
        <v>0.0</v>
      </c>
      <c r="E43" s="115">
        <v>0.0</v>
      </c>
      <c r="F43" s="115">
        <v>0.19115788180701915</v>
      </c>
    </row>
    <row r="44" ht="14.25" customHeight="1">
      <c r="A44" s="115">
        <v>0.6415766729658793</v>
      </c>
      <c r="B44" s="115">
        <v>3.0</v>
      </c>
      <c r="C44" s="115">
        <v>0.3333333333333333</v>
      </c>
      <c r="D44" s="115">
        <v>0.0</v>
      </c>
      <c r="E44" s="115">
        <v>6.299212598425197E-6</v>
      </c>
      <c r="F44" s="115">
        <v>0.18784217842114118</v>
      </c>
    </row>
    <row r="45" ht="14.25" customHeight="1">
      <c r="A45" s="115">
        <v>0.6353971755725191</v>
      </c>
      <c r="B45" s="115">
        <v>3.0</v>
      </c>
      <c r="C45" s="115">
        <v>0.5</v>
      </c>
      <c r="D45" s="115">
        <v>0.0</v>
      </c>
      <c r="E45" s="115">
        <v>0.0</v>
      </c>
      <c r="F45" s="115">
        <v>0.17469988869026637</v>
      </c>
    </row>
    <row r="46" ht="14.25" customHeight="1">
      <c r="A46" s="115">
        <v>0.8657078691190145</v>
      </c>
      <c r="B46" s="115">
        <v>3.0</v>
      </c>
      <c r="C46" s="115">
        <v>0.375</v>
      </c>
      <c r="D46" s="115">
        <v>0.2</v>
      </c>
      <c r="E46" s="115">
        <v>0.0058982175580555435</v>
      </c>
      <c r="F46" s="115">
        <v>0.16277860103364314</v>
      </c>
    </row>
    <row r="47" ht="14.25" customHeight="1">
      <c r="A47" s="115">
        <v>0.5522764714186063</v>
      </c>
      <c r="B47" s="115">
        <v>3.0</v>
      </c>
      <c r="C47" s="115">
        <v>0.3333333333333333</v>
      </c>
      <c r="D47" s="115">
        <v>0.14285714285714285</v>
      </c>
      <c r="E47" s="115">
        <v>0.0</v>
      </c>
      <c r="F47" s="115">
        <v>0.21451939493373634</v>
      </c>
    </row>
    <row r="48" ht="14.25" customHeight="1">
      <c r="A48" s="115">
        <v>0.9767281841015664</v>
      </c>
      <c r="B48" s="115">
        <v>3.0</v>
      </c>
      <c r="C48" s="115">
        <v>0.4</v>
      </c>
      <c r="D48" s="115">
        <v>0.3333333333333333</v>
      </c>
      <c r="E48" s="115">
        <v>0.0046306843467191225</v>
      </c>
      <c r="F48" s="115">
        <v>0.20935608667943997</v>
      </c>
    </row>
    <row r="49" ht="14.25" customHeight="1">
      <c r="A49" s="115">
        <v>0.803190142993543</v>
      </c>
      <c r="B49" s="115">
        <v>3.0</v>
      </c>
      <c r="C49" s="115">
        <v>0.4</v>
      </c>
      <c r="D49" s="115">
        <v>0.25</v>
      </c>
      <c r="E49" s="115">
        <v>1.2029142377723105E-7</v>
      </c>
      <c r="F49" s="115">
        <v>0.27241853656952375</v>
      </c>
    </row>
    <row r="50" ht="14.25" customHeight="1">
      <c r="A50" s="115">
        <v>0.7794474957490618</v>
      </c>
      <c r="B50" s="115">
        <v>2.0</v>
      </c>
      <c r="C50" s="115">
        <v>0.3333333333333333</v>
      </c>
      <c r="D50" s="115">
        <v>0.0</v>
      </c>
      <c r="E50" s="115">
        <v>0.48751579257868244</v>
      </c>
      <c r="F50" s="115">
        <v>0.2509794429471574</v>
      </c>
    </row>
    <row r="51" ht="14.25" customHeight="1">
      <c r="A51" s="115">
        <v>0.4604975411000692</v>
      </c>
      <c r="B51" s="115">
        <v>3.0</v>
      </c>
      <c r="C51" s="115">
        <v>0.3333333333333333</v>
      </c>
      <c r="D51" s="115">
        <v>0.0</v>
      </c>
      <c r="E51" s="115">
        <v>0.0</v>
      </c>
      <c r="F51" s="115">
        <v>0.017439213619275876</v>
      </c>
    </row>
    <row r="52" ht="14.25" customHeight="1">
      <c r="A52" s="115">
        <v>0.9651050807077326</v>
      </c>
      <c r="B52" s="115">
        <v>3.0</v>
      </c>
      <c r="C52" s="115">
        <v>0.8333333333333334</v>
      </c>
      <c r="D52" s="115">
        <v>0.5</v>
      </c>
      <c r="E52" s="115">
        <v>0.0</v>
      </c>
      <c r="F52" s="115">
        <v>0.2329264922103182</v>
      </c>
    </row>
    <row r="53" ht="14.25" customHeight="1">
      <c r="A53" s="115">
        <v>0.8494856887298747</v>
      </c>
      <c r="B53" s="115">
        <v>3.0</v>
      </c>
      <c r="C53" s="115">
        <v>0.3333333333333333</v>
      </c>
      <c r="D53" s="115">
        <v>0.2</v>
      </c>
      <c r="E53" s="115">
        <v>2.4381335718545022E-4</v>
      </c>
      <c r="F53" s="115">
        <v>0.26252524124830995</v>
      </c>
    </row>
    <row r="54" ht="14.25" customHeight="1">
      <c r="A54" s="115">
        <v>0.6447466237208469</v>
      </c>
      <c r="B54" s="115">
        <v>3.0</v>
      </c>
      <c r="C54" s="115">
        <v>0.5</v>
      </c>
      <c r="D54" s="115">
        <v>0.0</v>
      </c>
      <c r="E54" s="115">
        <v>0.5381022223926452</v>
      </c>
      <c r="F54" s="115">
        <v>0.21857042049741165</v>
      </c>
    </row>
    <row r="55" ht="14.25" customHeight="1">
      <c r="A55" s="115">
        <v>0.7968471641377171</v>
      </c>
      <c r="B55" s="115">
        <v>3.0</v>
      </c>
      <c r="C55" s="115">
        <v>0.5</v>
      </c>
      <c r="D55" s="115">
        <v>0.0</v>
      </c>
      <c r="E55" s="115">
        <v>0.0</v>
      </c>
      <c r="F55" s="115">
        <v>0.27377948389051543</v>
      </c>
    </row>
    <row r="56" ht="14.25" customHeight="1">
      <c r="A56" s="115">
        <v>0.9152392638848016</v>
      </c>
      <c r="B56" s="115">
        <v>3.0</v>
      </c>
      <c r="C56" s="115">
        <v>0.3333333333333333</v>
      </c>
      <c r="D56" s="115">
        <v>0.0</v>
      </c>
      <c r="E56" s="115">
        <v>6.780847090541939E-6</v>
      </c>
      <c r="F56" s="115">
        <v>0.21416261634740622</v>
      </c>
    </row>
    <row r="57" ht="14.25" customHeight="1">
      <c r="A57" s="115">
        <v>0.5318543306204202</v>
      </c>
      <c r="B57" s="115">
        <v>3.0</v>
      </c>
      <c r="C57" s="115">
        <v>0.5</v>
      </c>
      <c r="D57" s="115">
        <v>0.0</v>
      </c>
      <c r="E57" s="115">
        <v>0.014342370783946096</v>
      </c>
      <c r="F57" s="115">
        <v>0.18642160478821543</v>
      </c>
    </row>
    <row r="58" ht="14.25" customHeight="1">
      <c r="A58" s="115">
        <v>0.8169222011373884</v>
      </c>
      <c r="B58" s="115">
        <v>3.0</v>
      </c>
      <c r="C58" s="115">
        <v>0.42857142857142855</v>
      </c>
      <c r="D58" s="115">
        <v>0.16666666666666666</v>
      </c>
      <c r="E58" s="115">
        <v>0.09867992188839282</v>
      </c>
      <c r="F58" s="115">
        <v>0.3869420462514994</v>
      </c>
    </row>
    <row r="59" ht="14.25" customHeight="1">
      <c r="A59" s="115">
        <v>0.5414375</v>
      </c>
      <c r="B59" s="115">
        <v>3.0</v>
      </c>
      <c r="C59" s="115">
        <v>0.5</v>
      </c>
      <c r="D59" s="115">
        <v>0.0</v>
      </c>
      <c r="E59" s="115">
        <v>0.0010776333333333333</v>
      </c>
      <c r="F59" s="115">
        <v>0.18824900019757596</v>
      </c>
    </row>
    <row r="60" ht="14.25" customHeight="1">
      <c r="A60" s="115">
        <v>0.0021473916737468138</v>
      </c>
      <c r="B60" s="115">
        <v>3.0</v>
      </c>
      <c r="C60" s="115">
        <v>0.5</v>
      </c>
      <c r="D60" s="115">
        <v>0.0</v>
      </c>
      <c r="E60" s="115">
        <v>0.015204910790144435</v>
      </c>
      <c r="F60" s="115">
        <v>0.20694716780182976</v>
      </c>
    </row>
    <row r="61" ht="14.25" customHeight="1">
      <c r="A61" s="115">
        <v>0.8702033613445378</v>
      </c>
      <c r="B61" s="115">
        <v>3.0</v>
      </c>
      <c r="C61" s="115">
        <v>0.5</v>
      </c>
      <c r="D61" s="115">
        <v>0.3333333333333333</v>
      </c>
      <c r="E61" s="115">
        <v>0.0</v>
      </c>
      <c r="F61" s="115">
        <v>0.21568538163422457</v>
      </c>
    </row>
    <row r="62" ht="14.25" customHeight="1">
      <c r="A62" s="115">
        <v>0.7688</v>
      </c>
      <c r="B62" s="115">
        <v>3.0</v>
      </c>
      <c r="C62" s="115">
        <v>0.3333333333333333</v>
      </c>
      <c r="D62" s="115">
        <v>0.2</v>
      </c>
      <c r="E62" s="115">
        <v>0.010477569391459904</v>
      </c>
      <c r="F62" s="115">
        <v>0.21376573643459656</v>
      </c>
    </row>
    <row r="63" ht="14.25" customHeight="1">
      <c r="A63" s="115">
        <v>0.22834844769475982</v>
      </c>
      <c r="B63" s="115">
        <v>4.0</v>
      </c>
      <c r="C63" s="115">
        <v>0.3333333333333333</v>
      </c>
      <c r="D63" s="115">
        <v>0.0</v>
      </c>
      <c r="E63" s="115">
        <v>0.7518337027452766</v>
      </c>
      <c r="F63" s="115">
        <v>0.20457762763282128</v>
      </c>
    </row>
    <row r="64" ht="14.25" customHeight="1">
      <c r="A64" s="115">
        <v>0.9909161895962922</v>
      </c>
      <c r="B64" s="115">
        <v>3.0</v>
      </c>
      <c r="C64" s="115">
        <v>0.5</v>
      </c>
      <c r="D64" s="115">
        <v>0.16666666666666666</v>
      </c>
      <c r="E64" s="115">
        <v>0.0</v>
      </c>
      <c r="F64" s="115">
        <v>0.22650085004930118</v>
      </c>
    </row>
    <row r="65" ht="14.25" customHeight="1">
      <c r="A65" s="115">
        <v>0.7911395586191797</v>
      </c>
      <c r="B65" s="115">
        <v>3.0</v>
      </c>
      <c r="C65" s="115">
        <v>0.5</v>
      </c>
      <c r="D65" s="115">
        <v>0.0</v>
      </c>
      <c r="E65" s="115">
        <v>1.9052788337479195E-4</v>
      </c>
      <c r="F65" s="115">
        <v>0.23114724923119317</v>
      </c>
    </row>
    <row r="66" ht="14.25" customHeight="1">
      <c r="A66" s="115">
        <v>0.8697155473170731</v>
      </c>
      <c r="B66" s="115">
        <v>3.0</v>
      </c>
      <c r="C66" s="115">
        <v>0.3333333333333333</v>
      </c>
      <c r="D66" s="115">
        <v>0.0</v>
      </c>
      <c r="E66" s="115">
        <v>0.0</v>
      </c>
      <c r="F66" s="115">
        <v>0.26405977624356824</v>
      </c>
    </row>
    <row r="67" ht="14.25" customHeight="1">
      <c r="A67" s="115">
        <v>0.6638976353292952</v>
      </c>
      <c r="B67" s="115">
        <v>3.0</v>
      </c>
      <c r="C67" s="115">
        <v>0.4</v>
      </c>
      <c r="D67" s="115">
        <v>0.0</v>
      </c>
      <c r="E67" s="115">
        <v>0.0</v>
      </c>
      <c r="F67" s="115">
        <v>0.20514680951555808</v>
      </c>
    </row>
    <row r="68" ht="14.25" customHeight="1">
      <c r="A68" s="115">
        <v>0.20615002705326235</v>
      </c>
      <c r="B68" s="115">
        <v>3.0</v>
      </c>
      <c r="C68" s="115">
        <v>0.8</v>
      </c>
      <c r="D68" s="115">
        <v>0.0</v>
      </c>
      <c r="E68" s="115">
        <v>0.39634833089873334</v>
      </c>
      <c r="F68" s="115">
        <v>0.22766089288653504</v>
      </c>
    </row>
    <row r="69" ht="14.25" customHeight="1">
      <c r="A69" s="115">
        <v>0.6929469874438349</v>
      </c>
      <c r="B69" s="115">
        <v>3.0</v>
      </c>
      <c r="C69" s="115">
        <v>0.4</v>
      </c>
      <c r="D69" s="115">
        <v>0.25</v>
      </c>
      <c r="E69" s="115">
        <v>0.0</v>
      </c>
      <c r="F69" s="115">
        <v>0.22432204476945522</v>
      </c>
    </row>
    <row r="70" ht="14.25" customHeight="1">
      <c r="A70" s="115">
        <v>0.7581191254315253</v>
      </c>
      <c r="B70" s="115">
        <v>3.0</v>
      </c>
      <c r="C70" s="115">
        <v>0.3333333333333333</v>
      </c>
      <c r="D70" s="115">
        <v>0.25</v>
      </c>
      <c r="E70" s="115">
        <v>0.14610453076170266</v>
      </c>
      <c r="F70" s="115">
        <v>0.26211356226268867</v>
      </c>
    </row>
    <row r="71" ht="14.25" customHeight="1">
      <c r="A71" s="115">
        <v>0.9552895087571622</v>
      </c>
      <c r="B71" s="115">
        <v>3.0</v>
      </c>
      <c r="C71" s="115">
        <v>0.4</v>
      </c>
      <c r="D71" s="115">
        <v>0.25</v>
      </c>
      <c r="E71" s="115">
        <v>0.0017122496898812688</v>
      </c>
      <c r="F71" s="115">
        <v>0.2253056860703936</v>
      </c>
    </row>
    <row r="72" ht="14.25" customHeight="1">
      <c r="A72" s="115">
        <v>0.9999430210702461</v>
      </c>
      <c r="B72" s="115">
        <v>3.0</v>
      </c>
      <c r="C72" s="115">
        <v>0.5</v>
      </c>
      <c r="D72" s="115">
        <v>0.0</v>
      </c>
      <c r="E72" s="115">
        <v>0.0</v>
      </c>
      <c r="F72" s="115">
        <v>0.3529001036697334</v>
      </c>
    </row>
    <row r="73" ht="14.25" customHeight="1">
      <c r="A73" s="115">
        <v>0.8947627083333334</v>
      </c>
      <c r="B73" s="115">
        <v>3.0</v>
      </c>
      <c r="C73" s="115">
        <v>0.5</v>
      </c>
      <c r="D73" s="115">
        <v>0.3333333333333333</v>
      </c>
      <c r="E73" s="115">
        <v>0.0</v>
      </c>
      <c r="F73" s="115">
        <v>0.23919029847463633</v>
      </c>
    </row>
    <row r="74" ht="14.25" customHeight="1">
      <c r="A74" s="115">
        <v>0.899</v>
      </c>
      <c r="B74" s="115">
        <v>3.0</v>
      </c>
      <c r="C74" s="115">
        <v>0.5</v>
      </c>
      <c r="D74" s="115">
        <v>0.0</v>
      </c>
      <c r="E74" s="115">
        <v>0.006728865831500431</v>
      </c>
      <c r="F74" s="115">
        <v>0.2239238014836719</v>
      </c>
    </row>
    <row r="75" ht="14.25" customHeight="1">
      <c r="A75" s="115">
        <v>0.5071979290698662</v>
      </c>
      <c r="B75" s="115">
        <v>3.0</v>
      </c>
      <c r="C75" s="115">
        <v>0.3333333333333333</v>
      </c>
      <c r="D75" s="115">
        <v>0.0</v>
      </c>
      <c r="E75" s="115">
        <v>0.17119292455435933</v>
      </c>
      <c r="F75" s="115">
        <v>0.2318588502949919</v>
      </c>
    </row>
    <row r="76" ht="14.25" customHeight="1">
      <c r="A76" s="115">
        <v>0.6488905833333334</v>
      </c>
      <c r="B76" s="115">
        <v>3.0</v>
      </c>
      <c r="C76" s="115">
        <v>0.3333333333333333</v>
      </c>
      <c r="D76" s="115">
        <v>0.0</v>
      </c>
      <c r="E76" s="115">
        <v>0.2667435166666667</v>
      </c>
      <c r="F76" s="115">
        <v>0.8023361776157734</v>
      </c>
    </row>
    <row r="77" ht="14.25" customHeight="1">
      <c r="A77" s="115">
        <v>0.9535855591419256</v>
      </c>
      <c r="B77" s="115">
        <v>3.0</v>
      </c>
      <c r="C77" s="115">
        <v>0.5</v>
      </c>
      <c r="D77" s="115">
        <v>0.14285714285714285</v>
      </c>
      <c r="E77" s="115">
        <v>0.0</v>
      </c>
      <c r="F77" s="115">
        <v>0.21475669254432045</v>
      </c>
    </row>
    <row r="78" ht="14.25" customHeight="1">
      <c r="A78" s="115">
        <v>0.8053294538080733</v>
      </c>
      <c r="B78" s="115">
        <v>3.0</v>
      </c>
      <c r="C78" s="115">
        <v>0.5</v>
      </c>
      <c r="D78" s="115">
        <v>0.0</v>
      </c>
      <c r="E78" s="115">
        <v>0.0</v>
      </c>
      <c r="F78" s="115">
        <v>0.26034512240739005</v>
      </c>
    </row>
    <row r="79" ht="14.25" customHeight="1">
      <c r="A79" s="115">
        <v>0.945399999988611</v>
      </c>
      <c r="B79" s="115">
        <v>3.0</v>
      </c>
      <c r="C79" s="115">
        <v>0.375</v>
      </c>
      <c r="D79" s="115">
        <v>0.10526315789473684</v>
      </c>
      <c r="E79" s="115">
        <v>1.571700417969446E-4</v>
      </c>
      <c r="F79" s="115">
        <v>0.2639481039979548</v>
      </c>
    </row>
    <row r="80" ht="14.25" customHeight="1">
      <c r="A80" s="115">
        <v>0.07015902712815715</v>
      </c>
      <c r="B80" s="115">
        <v>3.0</v>
      </c>
      <c r="C80" s="115">
        <v>0.5</v>
      </c>
      <c r="D80" s="115">
        <v>0.25</v>
      </c>
      <c r="E80" s="115">
        <v>0.6488945701165065</v>
      </c>
      <c r="F80" s="115">
        <v>0.25552043953943526</v>
      </c>
    </row>
    <row r="81" ht="14.25" customHeight="1">
      <c r="A81" s="115">
        <v>0.8971093441760294</v>
      </c>
      <c r="B81" s="115">
        <v>3.0</v>
      </c>
      <c r="C81" s="115">
        <v>0.5</v>
      </c>
      <c r="D81" s="115">
        <v>0.0</v>
      </c>
      <c r="E81" s="115">
        <v>2.3462945939794685E-4</v>
      </c>
      <c r="F81" s="115">
        <v>0.25000455901626734</v>
      </c>
    </row>
    <row r="82" ht="14.25" customHeight="1">
      <c r="A82" s="115">
        <v>0.9060962</v>
      </c>
      <c r="B82" s="115">
        <v>3.0</v>
      </c>
      <c r="C82" s="115">
        <v>0.3333333333333333</v>
      </c>
      <c r="D82" s="115">
        <v>0.0</v>
      </c>
      <c r="E82" s="115">
        <v>0.0032039333333333335</v>
      </c>
      <c r="F82" s="115">
        <v>0.21983013181090055</v>
      </c>
    </row>
    <row r="83" ht="14.25" customHeight="1">
      <c r="A83" s="115">
        <v>0.76190476375</v>
      </c>
      <c r="B83" s="115">
        <v>3.0</v>
      </c>
      <c r="C83" s="115">
        <v>0.5</v>
      </c>
      <c r="D83" s="115">
        <v>0.25</v>
      </c>
      <c r="E83" s="115">
        <v>0.02803175875</v>
      </c>
      <c r="F83" s="115">
        <v>0.21211369103980385</v>
      </c>
    </row>
    <row r="84" ht="14.25" customHeight="1">
      <c r="A84" s="115">
        <v>0.5961901457055573</v>
      </c>
      <c r="B84" s="115">
        <v>3.0</v>
      </c>
      <c r="C84" s="115">
        <v>0.4</v>
      </c>
      <c r="D84" s="115">
        <v>0.1111111111111111</v>
      </c>
      <c r="E84" s="115">
        <v>3.108520823394116E-5</v>
      </c>
      <c r="F84" s="115">
        <v>0.16540344471191298</v>
      </c>
    </row>
    <row r="85" ht="14.25" customHeight="1">
      <c r="A85" s="115">
        <v>0.572704921049693</v>
      </c>
      <c r="B85" s="115">
        <v>3.0</v>
      </c>
      <c r="C85" s="115">
        <v>0.6</v>
      </c>
      <c r="D85" s="115">
        <v>0.0</v>
      </c>
      <c r="E85" s="115">
        <v>0.0033923394751535457</v>
      </c>
      <c r="F85" s="115">
        <v>0.43298713208750866</v>
      </c>
    </row>
    <row r="86" ht="14.25" customHeight="1">
      <c r="A86" s="115">
        <v>0.9414764413263077</v>
      </c>
      <c r="B86" s="115">
        <v>3.0</v>
      </c>
      <c r="C86" s="115">
        <v>0.6666666666666666</v>
      </c>
      <c r="D86" s="115">
        <v>0.4</v>
      </c>
      <c r="E86" s="115">
        <v>0.006713265169117038</v>
      </c>
      <c r="F86" s="115">
        <v>0.18810265119350883</v>
      </c>
    </row>
    <row r="87" ht="14.25" customHeight="1">
      <c r="A87" s="115">
        <v>0.8931898433792121</v>
      </c>
      <c r="B87" s="115">
        <v>3.0</v>
      </c>
      <c r="C87" s="115">
        <v>0.4</v>
      </c>
      <c r="D87" s="115">
        <v>0.6</v>
      </c>
      <c r="E87" s="115">
        <v>0.0</v>
      </c>
      <c r="F87" s="115">
        <v>0.23699524940617578</v>
      </c>
    </row>
    <row r="88" ht="14.25" customHeight="1">
      <c r="A88" s="115">
        <v>0.5856202741604056</v>
      </c>
      <c r="B88" s="115">
        <v>3.0</v>
      </c>
      <c r="C88" s="115">
        <v>0.4</v>
      </c>
      <c r="D88" s="115">
        <v>0.0</v>
      </c>
      <c r="E88" s="115">
        <v>4.511399978552719E-4</v>
      </c>
      <c r="F88" s="115">
        <v>0.6529992019154031</v>
      </c>
    </row>
    <row r="89" ht="14.25" customHeight="1">
      <c r="A89" s="115">
        <v>0.5907083858831151</v>
      </c>
      <c r="B89" s="115">
        <v>3.0</v>
      </c>
      <c r="C89" s="115">
        <v>0.4</v>
      </c>
      <c r="D89" s="115">
        <v>0.0</v>
      </c>
      <c r="E89" s="115">
        <v>0.2525240988717648</v>
      </c>
      <c r="F89" s="115">
        <v>0.2073528735891577</v>
      </c>
    </row>
    <row r="90" ht="14.25" customHeight="1">
      <c r="A90" s="115">
        <v>0.9292897058908635</v>
      </c>
      <c r="B90" s="115">
        <v>3.0</v>
      </c>
      <c r="C90" s="115">
        <v>0.5</v>
      </c>
      <c r="D90" s="115">
        <v>0.0</v>
      </c>
      <c r="E90" s="115">
        <v>2.7536451943803564E-6</v>
      </c>
      <c r="F90" s="115">
        <v>0.22483993518849085</v>
      </c>
    </row>
    <row r="91" ht="14.25" customHeight="1">
      <c r="A91" s="115">
        <v>0.8827639946949603</v>
      </c>
      <c r="B91" s="115">
        <v>3.0</v>
      </c>
      <c r="C91" s="115">
        <v>0.5</v>
      </c>
      <c r="D91" s="115">
        <v>0.42857142857142855</v>
      </c>
      <c r="E91" s="115">
        <v>0.08488063660477453</v>
      </c>
      <c r="F91" s="115">
        <v>0.167342434448286</v>
      </c>
    </row>
    <row r="92" ht="14.25" customHeight="1">
      <c r="A92" s="115">
        <v>0.992052568768794</v>
      </c>
      <c r="B92" s="115">
        <v>3.0</v>
      </c>
      <c r="C92" s="115">
        <v>0.3333333333333333</v>
      </c>
      <c r="D92" s="115">
        <v>0.6</v>
      </c>
      <c r="E92" s="115">
        <v>0.0</v>
      </c>
      <c r="F92" s="115">
        <v>0.2212437502975395</v>
      </c>
    </row>
    <row r="93" ht="14.25" customHeight="1">
      <c r="A93" s="115">
        <v>0.8969389199372056</v>
      </c>
      <c r="B93" s="115">
        <v>4.0</v>
      </c>
      <c r="C93" s="115">
        <v>0.6</v>
      </c>
      <c r="D93" s="115">
        <v>0.0</v>
      </c>
      <c r="E93" s="115">
        <v>0.0</v>
      </c>
      <c r="F93" s="115">
        <v>0.3102445366124553</v>
      </c>
    </row>
    <row r="94" ht="14.25" customHeight="1">
      <c r="A94" s="115">
        <v>0.945799072044658</v>
      </c>
      <c r="B94" s="115">
        <v>3.0</v>
      </c>
      <c r="C94" s="115">
        <v>0.6666666666666666</v>
      </c>
      <c r="D94" s="115">
        <v>0.0</v>
      </c>
      <c r="E94" s="115">
        <v>0.0</v>
      </c>
      <c r="F94" s="115">
        <v>0.40779787855784927</v>
      </c>
    </row>
    <row r="95" ht="14.25" customHeight="1">
      <c r="A95" s="115">
        <v>0.8743</v>
      </c>
      <c r="B95" s="115">
        <v>3.0</v>
      </c>
      <c r="C95" s="115">
        <v>0.3333333333333333</v>
      </c>
      <c r="D95" s="115">
        <v>0.1111111111111111</v>
      </c>
      <c r="E95" s="115">
        <v>5.93498226924047E-5</v>
      </c>
      <c r="F95" s="115">
        <v>0.37703511957136204</v>
      </c>
    </row>
    <row r="96" ht="14.25" customHeight="1">
      <c r="A96" s="115">
        <v>0.9819441888813527</v>
      </c>
      <c r="B96" s="115">
        <v>3.0</v>
      </c>
      <c r="C96" s="115">
        <v>0.3333333333333333</v>
      </c>
      <c r="D96" s="115">
        <v>0.2</v>
      </c>
      <c r="E96" s="115">
        <v>0.005407951321806091</v>
      </c>
      <c r="F96" s="115">
        <v>0.22000000000064154</v>
      </c>
    </row>
    <row r="97" ht="14.25" customHeight="1">
      <c r="A97" s="115">
        <v>0.9239968319737425</v>
      </c>
      <c r="B97" s="115">
        <v>3.0</v>
      </c>
      <c r="C97" s="115">
        <v>0.42857142857142855</v>
      </c>
      <c r="D97" s="115">
        <v>0.0</v>
      </c>
      <c r="E97" s="115">
        <v>0.0</v>
      </c>
      <c r="F97" s="115">
        <v>0.17225936660756833</v>
      </c>
    </row>
    <row r="98" ht="14.25" customHeight="1">
      <c r="A98" s="115">
        <v>0.7085371548556431</v>
      </c>
      <c r="B98" s="115">
        <v>3.0</v>
      </c>
      <c r="C98" s="115">
        <v>0.3333333333333333</v>
      </c>
      <c r="D98" s="115">
        <v>0.0</v>
      </c>
      <c r="E98" s="115">
        <v>1.5748031496062993E-5</v>
      </c>
      <c r="F98" s="115">
        <v>0.37693583379143225</v>
      </c>
    </row>
    <row r="99" ht="14.25" customHeight="1">
      <c r="A99" s="115">
        <v>0.6353743511450382</v>
      </c>
      <c r="B99" s="115">
        <v>3.0</v>
      </c>
      <c r="C99" s="115">
        <v>0.5</v>
      </c>
      <c r="D99" s="115">
        <v>0.0</v>
      </c>
      <c r="E99" s="115">
        <v>0.03187083969465649</v>
      </c>
      <c r="F99" s="115">
        <v>0.1676397245172241</v>
      </c>
    </row>
    <row r="100" ht="14.25" customHeight="1">
      <c r="A100" s="115">
        <v>0.8670394266930076</v>
      </c>
      <c r="B100" s="115">
        <v>3.0</v>
      </c>
      <c r="C100" s="115">
        <v>0.375</v>
      </c>
      <c r="D100" s="115">
        <v>0.2</v>
      </c>
      <c r="E100" s="115">
        <v>0.007229775132048594</v>
      </c>
      <c r="F100" s="115">
        <v>0.14416582779437206</v>
      </c>
    </row>
    <row r="101" ht="14.25" customHeight="1">
      <c r="A101" s="115">
        <v>0.6379350039720659</v>
      </c>
      <c r="B101" s="115">
        <v>3.0</v>
      </c>
      <c r="C101" s="115">
        <v>0.3333333333333333</v>
      </c>
      <c r="D101" s="115">
        <v>0.0</v>
      </c>
      <c r="E101" s="115">
        <v>0.0</v>
      </c>
      <c r="F101" s="115">
        <v>0.22097081844012964</v>
      </c>
    </row>
    <row r="102" ht="14.25" customHeight="1">
      <c r="A102" s="115">
        <v>0.9767706449586442</v>
      </c>
      <c r="B102" s="115">
        <v>3.0</v>
      </c>
      <c r="C102" s="115">
        <v>0.4</v>
      </c>
      <c r="D102" s="115">
        <v>0.3333333333333333</v>
      </c>
      <c r="E102" s="115">
        <v>0.002897409914231767</v>
      </c>
      <c r="F102" s="115">
        <v>0.24921236053547569</v>
      </c>
    </row>
    <row r="103" ht="14.25" customHeight="1">
      <c r="A103" s="115">
        <v>0.803190142993543</v>
      </c>
      <c r="B103" s="115">
        <v>3.0</v>
      </c>
      <c r="C103" s="115">
        <v>0.4</v>
      </c>
      <c r="D103" s="115">
        <v>0.25</v>
      </c>
      <c r="E103" s="115">
        <v>2.4058284755446214E-6</v>
      </c>
      <c r="F103" s="115">
        <v>0.24325905801833808</v>
      </c>
    </row>
    <row r="104" ht="14.25" customHeight="1">
      <c r="A104" s="115">
        <v>0.782703528596056</v>
      </c>
      <c r="B104" s="115">
        <v>2.0</v>
      </c>
      <c r="C104" s="115">
        <v>0.3333333333333333</v>
      </c>
      <c r="D104" s="115">
        <v>0.0</v>
      </c>
      <c r="E104" s="115">
        <v>0.3910670941570594</v>
      </c>
      <c r="F104" s="115">
        <v>0.21304796372285267</v>
      </c>
    </row>
    <row r="105" ht="14.25" customHeight="1">
      <c r="A105" s="115">
        <v>0.407365271254638</v>
      </c>
      <c r="B105" s="115">
        <v>3.0</v>
      </c>
      <c r="C105" s="115">
        <v>0.3333333333333333</v>
      </c>
      <c r="D105" s="115">
        <v>0.0</v>
      </c>
      <c r="E105" s="115">
        <v>0.0</v>
      </c>
      <c r="F105" s="115">
        <v>0.7248592031159534</v>
      </c>
    </row>
    <row r="106" ht="14.25" customHeight="1">
      <c r="A106" s="115">
        <v>0.9699966563302752</v>
      </c>
      <c r="B106" s="115">
        <v>3.0</v>
      </c>
      <c r="C106" s="115">
        <v>0.8333333333333334</v>
      </c>
      <c r="D106" s="115">
        <v>0.45454545454545453</v>
      </c>
      <c r="E106" s="115">
        <v>0.0</v>
      </c>
      <c r="F106" s="115">
        <v>0.2258890696943957</v>
      </c>
    </row>
    <row r="107" ht="14.25" customHeight="1">
      <c r="A107" s="115">
        <v>0.8494856887298747</v>
      </c>
      <c r="B107" s="115">
        <v>3.0</v>
      </c>
      <c r="C107" s="115">
        <v>0.4</v>
      </c>
      <c r="D107" s="115">
        <v>0.2</v>
      </c>
      <c r="E107" s="115">
        <v>2.4381335718545022E-4</v>
      </c>
      <c r="F107" s="115">
        <v>0.24305391463147372</v>
      </c>
    </row>
    <row r="108" ht="14.25" customHeight="1">
      <c r="A108" s="115">
        <v>0.6429371816141938</v>
      </c>
      <c r="B108" s="115">
        <v>3.0</v>
      </c>
      <c r="C108" s="115">
        <v>0.5</v>
      </c>
      <c r="D108" s="115">
        <v>0.0</v>
      </c>
      <c r="E108" s="115">
        <v>0.6314601107258943</v>
      </c>
      <c r="F108" s="115">
        <v>0.2206974265236464</v>
      </c>
    </row>
    <row r="109" ht="14.25" customHeight="1">
      <c r="A109" s="115">
        <v>0.7968471641377171</v>
      </c>
      <c r="B109" s="115">
        <v>3.0</v>
      </c>
      <c r="C109" s="115">
        <v>0.5</v>
      </c>
      <c r="D109" s="115">
        <v>0.14285714285714285</v>
      </c>
      <c r="E109" s="115">
        <v>0.0</v>
      </c>
      <c r="F109" s="115">
        <v>0.3048072552263216</v>
      </c>
    </row>
    <row r="110" ht="14.25" customHeight="1">
      <c r="A110" s="115">
        <v>0.913544052112166</v>
      </c>
      <c r="B110" s="115">
        <v>3.0</v>
      </c>
      <c r="C110" s="115">
        <v>0.3333333333333333</v>
      </c>
      <c r="D110" s="115">
        <v>0.3333333333333333</v>
      </c>
      <c r="E110" s="115">
        <v>2.017302009436227E-5</v>
      </c>
      <c r="F110" s="115">
        <v>0.21020535307789998</v>
      </c>
    </row>
    <row r="111" ht="14.25" customHeight="1">
      <c r="A111" s="115">
        <v>0.5318543306204202</v>
      </c>
      <c r="B111" s="115">
        <v>3.0</v>
      </c>
      <c r="C111" s="115">
        <v>0.5</v>
      </c>
      <c r="D111" s="115">
        <v>0.0</v>
      </c>
      <c r="E111" s="115">
        <v>0.013513823815494456</v>
      </c>
      <c r="F111" s="115">
        <v>0.19742409684498596</v>
      </c>
    </row>
    <row r="112" ht="14.25" customHeight="1">
      <c r="A112" s="115">
        <v>0.8169222011373884</v>
      </c>
      <c r="B112" s="115">
        <v>3.0</v>
      </c>
      <c r="C112" s="115">
        <v>0.2857142857142857</v>
      </c>
      <c r="D112" s="115">
        <v>0.16666666666666666</v>
      </c>
      <c r="E112" s="115">
        <v>0.09867992188839282</v>
      </c>
      <c r="F112" s="115">
        <v>0.3765919101477513</v>
      </c>
    </row>
    <row r="113" ht="14.25" customHeight="1">
      <c r="A113" s="115">
        <v>0.6537283666666667</v>
      </c>
      <c r="B113" s="115">
        <v>3.0</v>
      </c>
      <c r="C113" s="115">
        <v>0.5</v>
      </c>
      <c r="D113" s="115">
        <v>0.0</v>
      </c>
      <c r="E113" s="115">
        <v>0.0010196333333333334</v>
      </c>
      <c r="F113" s="115">
        <v>0.2397650863903311</v>
      </c>
    </row>
    <row r="114" ht="14.25" customHeight="1">
      <c r="A114" s="115">
        <v>0.009251384876805437</v>
      </c>
      <c r="B114" s="115">
        <v>3.0</v>
      </c>
      <c r="C114" s="115">
        <v>0.5</v>
      </c>
      <c r="D114" s="115">
        <v>0.0</v>
      </c>
      <c r="E114" s="115">
        <v>0.015204910790144435</v>
      </c>
      <c r="F114" s="115">
        <v>0.21999999999628408</v>
      </c>
    </row>
    <row r="115" ht="14.25" customHeight="1">
      <c r="A115" s="115">
        <v>0.8702033613445378</v>
      </c>
      <c r="B115" s="115">
        <v>3.0</v>
      </c>
      <c r="C115" s="115">
        <v>0.5</v>
      </c>
      <c r="D115" s="115">
        <v>0.3333333333333333</v>
      </c>
      <c r="E115" s="115">
        <v>0.0</v>
      </c>
      <c r="F115" s="115">
        <v>0.21273518039409076</v>
      </c>
    </row>
    <row r="116" ht="14.25" customHeight="1">
      <c r="A116" s="115">
        <v>0.7688</v>
      </c>
      <c r="B116" s="115">
        <v>3.0</v>
      </c>
      <c r="C116" s="115">
        <v>0.3333333333333333</v>
      </c>
      <c r="D116" s="115">
        <v>0.2</v>
      </c>
      <c r="E116" s="115">
        <v>0.010477569391459904</v>
      </c>
      <c r="F116" s="115">
        <v>0.21628905877173715</v>
      </c>
    </row>
    <row r="117" ht="14.25" customHeight="1">
      <c r="A117" s="115">
        <v>0.23710114430532386</v>
      </c>
      <c r="B117" s="115">
        <v>4.0</v>
      </c>
      <c r="C117" s="115">
        <v>0.3333333333333333</v>
      </c>
      <c r="D117" s="115">
        <v>0.0</v>
      </c>
      <c r="E117" s="115">
        <v>0.7508106120937661</v>
      </c>
      <c r="F117" s="115">
        <v>0.20231447843124079</v>
      </c>
    </row>
    <row r="118" ht="14.25" customHeight="1">
      <c r="A118" s="115">
        <v>0.9901454492621051</v>
      </c>
      <c r="B118" s="115">
        <v>3.0</v>
      </c>
      <c r="C118" s="115">
        <v>0.5</v>
      </c>
      <c r="D118" s="115">
        <v>0.16666666666666666</v>
      </c>
      <c r="E118" s="115">
        <v>0.0</v>
      </c>
      <c r="F118" s="115">
        <v>0.2938829842891099</v>
      </c>
    </row>
    <row r="119" ht="14.25" customHeight="1">
      <c r="A119" s="115">
        <v>0.9998094721166252</v>
      </c>
      <c r="B119" s="115">
        <v>3.0</v>
      </c>
      <c r="C119" s="115">
        <v>0.5</v>
      </c>
      <c r="D119" s="115">
        <v>0.0</v>
      </c>
      <c r="E119" s="115">
        <v>1.9052788337479195E-4</v>
      </c>
      <c r="F119" s="115">
        <v>0.28693926550211923</v>
      </c>
    </row>
    <row r="120" ht="14.25" customHeight="1">
      <c r="A120" s="115">
        <v>0.8689508907317073</v>
      </c>
      <c r="B120" s="115">
        <v>3.0</v>
      </c>
      <c r="C120" s="115">
        <v>0.3333333333333333</v>
      </c>
      <c r="D120" s="115">
        <v>0.0</v>
      </c>
      <c r="E120" s="115">
        <v>0.0</v>
      </c>
      <c r="F120" s="115">
        <v>0.2583171895021684</v>
      </c>
    </row>
    <row r="121" ht="14.25" customHeight="1">
      <c r="A121" s="115">
        <v>0.6603960200037706</v>
      </c>
      <c r="B121" s="115">
        <v>3.0</v>
      </c>
      <c r="C121" s="115">
        <v>0.4</v>
      </c>
      <c r="D121" s="115">
        <v>0.0</v>
      </c>
      <c r="E121" s="115">
        <v>0.0</v>
      </c>
      <c r="F121" s="115">
        <v>0.2149887331979941</v>
      </c>
    </row>
    <row r="122" ht="14.25" customHeight="1">
      <c r="A122" s="115">
        <v>0.27558938280646095</v>
      </c>
      <c r="B122" s="115">
        <v>3.0</v>
      </c>
      <c r="C122" s="115">
        <v>0.6666666666666666</v>
      </c>
      <c r="D122" s="115">
        <v>0.0</v>
      </c>
      <c r="E122" s="115">
        <v>0.34925683669155344</v>
      </c>
      <c r="F122" s="115">
        <v>0.2187819482985249</v>
      </c>
    </row>
    <row r="123" ht="14.25" customHeight="1">
      <c r="A123" s="115">
        <v>0.6929469874438349</v>
      </c>
      <c r="B123" s="115">
        <v>3.0</v>
      </c>
      <c r="C123" s="115">
        <v>0.4</v>
      </c>
      <c r="D123" s="115">
        <v>0.25</v>
      </c>
      <c r="E123" s="115">
        <v>0.0</v>
      </c>
      <c r="F123" s="115">
        <v>0.21824733666703489</v>
      </c>
    </row>
    <row r="124" ht="14.25" customHeight="1">
      <c r="A124" s="115">
        <v>0.7717414128723272</v>
      </c>
      <c r="B124" s="115">
        <v>3.0</v>
      </c>
      <c r="C124" s="115">
        <v>0.3333333333333333</v>
      </c>
      <c r="D124" s="115">
        <v>0.25</v>
      </c>
      <c r="E124" s="115">
        <v>0.14610453076170266</v>
      </c>
      <c r="F124" s="115">
        <v>0.30404642393732745</v>
      </c>
    </row>
    <row r="125" ht="14.25" customHeight="1">
      <c r="A125" s="115">
        <v>0.9796233788912517</v>
      </c>
      <c r="B125" s="115">
        <v>3.0</v>
      </c>
      <c r="C125" s="115">
        <v>0.4</v>
      </c>
      <c r="D125" s="115">
        <v>0.25</v>
      </c>
      <c r="E125" s="115">
        <v>0.0017122496898812688</v>
      </c>
      <c r="F125" s="115">
        <v>0.2281642966086723</v>
      </c>
    </row>
    <row r="126" ht="14.25" customHeight="1">
      <c r="A126" s="115">
        <v>0.9999600761754287</v>
      </c>
      <c r="B126" s="115">
        <v>3.0</v>
      </c>
      <c r="C126" s="115">
        <v>0.5</v>
      </c>
      <c r="D126" s="115">
        <v>0.0</v>
      </c>
      <c r="E126" s="115">
        <v>0.0</v>
      </c>
      <c r="F126" s="115">
        <v>0.26233438649412</v>
      </c>
    </row>
    <row r="127" ht="14.25" customHeight="1">
      <c r="A127" s="115">
        <v>0.8946377083333333</v>
      </c>
      <c r="B127" s="115">
        <v>3.0</v>
      </c>
      <c r="C127" s="115">
        <v>0.5</v>
      </c>
      <c r="D127" s="115">
        <v>0.3333333333333333</v>
      </c>
      <c r="E127" s="115">
        <v>0.0</v>
      </c>
      <c r="F127" s="115">
        <v>0.34087917820684327</v>
      </c>
    </row>
    <row r="128" ht="14.25" customHeight="1">
      <c r="A128" s="115">
        <v>0.897</v>
      </c>
      <c r="B128" s="115">
        <v>3.0</v>
      </c>
      <c r="C128" s="115">
        <v>0.5</v>
      </c>
      <c r="D128" s="115">
        <v>0.0</v>
      </c>
      <c r="E128" s="115">
        <v>0.006728865831500431</v>
      </c>
      <c r="F128" s="115">
        <v>0.29970283187938485</v>
      </c>
    </row>
    <row r="129" ht="14.25" customHeight="1">
      <c r="A129" s="115">
        <v>0.42233454181683083</v>
      </c>
      <c r="B129" s="115">
        <v>3.0</v>
      </c>
      <c r="C129" s="115">
        <v>0.3333333333333333</v>
      </c>
      <c r="D129" s="115">
        <v>0.0</v>
      </c>
      <c r="E129" s="115">
        <v>0.19727164616332515</v>
      </c>
      <c r="F129" s="115">
        <v>0.1998936554892899</v>
      </c>
    </row>
    <row r="130" ht="14.25" customHeight="1">
      <c r="A130" s="115">
        <v>0.6488905833333334</v>
      </c>
      <c r="B130" s="115">
        <v>3.0</v>
      </c>
      <c r="C130" s="115">
        <v>0.3333333333333333</v>
      </c>
      <c r="D130" s="115">
        <v>0.0</v>
      </c>
      <c r="E130" s="115">
        <v>0.2667435166666667</v>
      </c>
      <c r="F130" s="115">
        <v>0.22923021822627854</v>
      </c>
    </row>
    <row r="131" ht="14.25" customHeight="1">
      <c r="A131" s="115">
        <v>0.9504530037325608</v>
      </c>
      <c r="B131" s="115">
        <v>3.0</v>
      </c>
      <c r="C131" s="115">
        <v>0.5</v>
      </c>
      <c r="D131" s="115">
        <v>0.125</v>
      </c>
      <c r="E131" s="115">
        <v>0.0</v>
      </c>
      <c r="F131" s="115">
        <v>0.23485297590257548</v>
      </c>
    </row>
    <row r="132" ht="14.25" customHeight="1">
      <c r="A132" s="115">
        <v>0.8053294538080733</v>
      </c>
      <c r="B132" s="115">
        <v>3.0</v>
      </c>
      <c r="C132" s="115">
        <v>0.5</v>
      </c>
      <c r="D132" s="115">
        <v>0.0</v>
      </c>
      <c r="E132" s="115">
        <v>0.0</v>
      </c>
      <c r="F132" s="115">
        <v>0.23357520524878955</v>
      </c>
    </row>
    <row r="133" ht="14.25" customHeight="1">
      <c r="A133" s="115">
        <v>0.965200000022778</v>
      </c>
      <c r="B133" s="115">
        <v>3.0</v>
      </c>
      <c r="C133" s="115">
        <v>0.375</v>
      </c>
      <c r="D133" s="115">
        <v>0.10526315789473684</v>
      </c>
      <c r="E133" s="115">
        <v>1.571700417969446E-4</v>
      </c>
      <c r="F133" s="115">
        <v>0.23253149600153336</v>
      </c>
    </row>
    <row r="134" ht="14.25" customHeight="1">
      <c r="A134" s="115">
        <v>0.07015902712815715</v>
      </c>
      <c r="B134" s="115">
        <v>3.0</v>
      </c>
      <c r="C134" s="115">
        <v>0.5</v>
      </c>
      <c r="D134" s="115">
        <v>0.25</v>
      </c>
      <c r="E134" s="115">
        <v>0.6766732927970065</v>
      </c>
      <c r="F134" s="115">
        <v>0.27713527322252823</v>
      </c>
    </row>
    <row r="135" ht="14.25" customHeight="1">
      <c r="A135" s="115">
        <v>0.9320082820146833</v>
      </c>
      <c r="B135" s="115">
        <v>3.0</v>
      </c>
      <c r="C135" s="115">
        <v>0.5</v>
      </c>
      <c r="D135" s="115">
        <v>0.0</v>
      </c>
      <c r="E135" s="115">
        <v>2.1245759800248774E-4</v>
      </c>
      <c r="F135" s="115">
        <v>0.24263604710817377</v>
      </c>
    </row>
    <row r="136" ht="14.25" customHeight="1">
      <c r="A136" s="115">
        <v>0.9063164666666667</v>
      </c>
      <c r="B136" s="115">
        <v>3.0</v>
      </c>
      <c r="C136" s="115">
        <v>0.3333333333333333</v>
      </c>
      <c r="D136" s="115">
        <v>0.0</v>
      </c>
      <c r="E136" s="115">
        <v>0.005294933333333333</v>
      </c>
      <c r="F136" s="115">
        <v>0.21030452379418688</v>
      </c>
    </row>
    <row r="137" ht="14.25" customHeight="1">
      <c r="A137" s="115">
        <v>0.76190476375</v>
      </c>
      <c r="B137" s="115">
        <v>3.0</v>
      </c>
      <c r="C137" s="115">
        <v>0.3333333333333333</v>
      </c>
      <c r="D137" s="115">
        <v>0.2</v>
      </c>
      <c r="E137" s="115">
        <v>0.02803175875</v>
      </c>
      <c r="F137" s="115">
        <v>0.2102816829532586</v>
      </c>
    </row>
    <row r="138" ht="14.25" customHeight="1">
      <c r="A138" s="115">
        <v>0.5961901457055573</v>
      </c>
      <c r="B138" s="115">
        <v>3.0</v>
      </c>
      <c r="C138" s="115">
        <v>0.4</v>
      </c>
      <c r="D138" s="115">
        <v>0.2222222222222222</v>
      </c>
      <c r="E138" s="115">
        <v>3.108520823394116E-5</v>
      </c>
      <c r="F138" s="115">
        <v>0.16773271864969633</v>
      </c>
    </row>
    <row r="139" ht="14.25" customHeight="1">
      <c r="A139" s="115">
        <v>0.572704921049693</v>
      </c>
      <c r="B139" s="115">
        <v>3.0</v>
      </c>
      <c r="C139" s="115">
        <v>0.6</v>
      </c>
      <c r="D139" s="115">
        <v>0.0</v>
      </c>
      <c r="E139" s="115">
        <v>0.0036022780569514236</v>
      </c>
      <c r="F139" s="115">
        <v>0.23537341113667312</v>
      </c>
    </row>
    <row r="140" ht="14.25" customHeight="1">
      <c r="A140" s="115">
        <v>0.9601259036304355</v>
      </c>
      <c r="B140" s="115">
        <v>3.0</v>
      </c>
      <c r="C140" s="115">
        <v>0.6666666666666666</v>
      </c>
      <c r="D140" s="115">
        <v>0.4</v>
      </c>
      <c r="E140" s="115">
        <v>0.006713265169117038</v>
      </c>
      <c r="F140" s="115">
        <v>0.2775405415669743</v>
      </c>
    </row>
    <row r="141" ht="14.25" customHeight="1">
      <c r="A141" s="115">
        <v>0.8931898433792121</v>
      </c>
      <c r="B141" s="115">
        <v>3.0</v>
      </c>
      <c r="C141" s="115">
        <v>0.4</v>
      </c>
      <c r="D141" s="115">
        <v>0.5</v>
      </c>
      <c r="E141" s="115">
        <v>0.0</v>
      </c>
      <c r="F141" s="115">
        <v>0.21111467176454013</v>
      </c>
    </row>
    <row r="142" ht="14.25" customHeight="1">
      <c r="A142" s="115">
        <v>0.5856202741604056</v>
      </c>
      <c r="B142" s="115">
        <v>3.0</v>
      </c>
      <c r="C142" s="115">
        <v>0.3333333333333333</v>
      </c>
      <c r="D142" s="115">
        <v>0.0</v>
      </c>
      <c r="E142" s="115">
        <v>0.003047330517673179</v>
      </c>
      <c r="F142" s="115">
        <v>0.4305956615969822</v>
      </c>
    </row>
    <row r="143" ht="14.25" customHeight="1">
      <c r="A143" s="115">
        <v>0.5907083858831151</v>
      </c>
      <c r="B143" s="115">
        <v>3.0</v>
      </c>
      <c r="C143" s="115">
        <v>0.4</v>
      </c>
      <c r="D143" s="115">
        <v>0.0</v>
      </c>
      <c r="E143" s="115">
        <v>0.25263181980498645</v>
      </c>
      <c r="F143" s="115">
        <v>0.20958696556491668</v>
      </c>
    </row>
    <row r="144" ht="14.25" customHeight="1">
      <c r="A144" s="115">
        <v>0.881402090575309</v>
      </c>
      <c r="B144" s="115">
        <v>3.0</v>
      </c>
      <c r="C144" s="115">
        <v>0.5</v>
      </c>
      <c r="D144" s="115">
        <v>0.0</v>
      </c>
      <c r="E144" s="115">
        <v>2.7536451943803564E-6</v>
      </c>
      <c r="F144" s="115">
        <v>0.2223652192809251</v>
      </c>
      <c r="H144" s="56">
        <v>34.0</v>
      </c>
      <c r="I144" t="s">
        <v>356</v>
      </c>
      <c r="J144" s="112">
        <v>300000.0</v>
      </c>
      <c r="K144" t="s">
        <v>357</v>
      </c>
      <c r="L144" t="s">
        <v>358</v>
      </c>
      <c r="M144" t="s">
        <v>358</v>
      </c>
      <c r="N144" s="112">
        <v>166697.0</v>
      </c>
      <c r="P144" s="112">
        <v>138345.0</v>
      </c>
      <c r="Q144" s="112">
        <v>959092.0</v>
      </c>
    </row>
    <row r="145" ht="14.25" customHeight="1">
      <c r="A145" s="115">
        <v>0.8827796923076923</v>
      </c>
      <c r="B145" s="115">
        <v>3.0</v>
      </c>
      <c r="C145" s="115">
        <v>0.6666666666666666</v>
      </c>
      <c r="D145" s="115">
        <v>0.42857142857142855</v>
      </c>
      <c r="E145" s="115">
        <v>0.08488063660477453</v>
      </c>
      <c r="F145" s="115">
        <v>0.20150141002321187</v>
      </c>
    </row>
    <row r="146" ht="14.25" customHeight="1">
      <c r="A146" s="115">
        <v>0.9863315740914008</v>
      </c>
      <c r="B146" s="115">
        <v>3.0</v>
      </c>
      <c r="C146" s="115">
        <v>0.3333333333333333</v>
      </c>
      <c r="D146" s="115">
        <v>0.6</v>
      </c>
      <c r="E146" s="115">
        <v>0.0</v>
      </c>
      <c r="F146" s="115">
        <v>0.22763713994434323</v>
      </c>
    </row>
    <row r="147" ht="14.25" customHeight="1">
      <c r="A147" s="115">
        <v>0.8837357802197802</v>
      </c>
      <c r="B147" s="115">
        <v>4.0</v>
      </c>
      <c r="C147" s="115">
        <v>0.6</v>
      </c>
      <c r="D147" s="115">
        <v>0.0</v>
      </c>
      <c r="E147" s="115">
        <v>0.0</v>
      </c>
      <c r="F147" s="115">
        <v>0.3894102247481861</v>
      </c>
    </row>
    <row r="148" ht="14.25" customHeight="1">
      <c r="A148" s="115">
        <v>0.9500415699359185</v>
      </c>
      <c r="B148" s="115">
        <v>3.0</v>
      </c>
      <c r="C148" s="115">
        <v>0.6666666666666666</v>
      </c>
      <c r="D148" s="115">
        <v>0.0</v>
      </c>
      <c r="E148" s="115">
        <v>0.0</v>
      </c>
      <c r="F148" s="115">
        <v>0.34705042571416533</v>
      </c>
    </row>
    <row r="149" ht="14.25" customHeight="1">
      <c r="A149" s="115">
        <v>0.8736</v>
      </c>
      <c r="B149" s="115">
        <v>3.0</v>
      </c>
      <c r="C149" s="115">
        <v>0.3333333333333333</v>
      </c>
      <c r="D149" s="115">
        <v>0.09090909090909091</v>
      </c>
      <c r="E149" s="115">
        <v>5.93498226924047E-5</v>
      </c>
      <c r="F149" s="115">
        <v>0.26848444811303057</v>
      </c>
    </row>
    <row r="150" ht="14.25" customHeight="1">
      <c r="A150" s="115">
        <v>0.9813431382697265</v>
      </c>
      <c r="B150" s="115">
        <v>3.0</v>
      </c>
      <c r="C150" s="115">
        <v>0.3333333333333333</v>
      </c>
      <c r="D150" s="115">
        <v>0.2</v>
      </c>
      <c r="E150" s="115">
        <v>0.005407951321806091</v>
      </c>
      <c r="F150" s="115">
        <v>0.22552218336403473</v>
      </c>
    </row>
    <row r="151" ht="14.25" customHeight="1">
      <c r="A151" s="115">
        <v>0.9239968319737425</v>
      </c>
      <c r="B151" s="115">
        <v>3.0</v>
      </c>
      <c r="C151" s="115">
        <v>0.42857142857142855</v>
      </c>
      <c r="D151" s="115">
        <v>0.16666666666666666</v>
      </c>
      <c r="E151" s="115">
        <v>0.0</v>
      </c>
      <c r="F151" s="115">
        <v>0.193745971155047</v>
      </c>
    </row>
    <row r="152" ht="14.25" customHeight="1">
      <c r="A152" s="115">
        <v>0.7035304818897637</v>
      </c>
      <c r="B152" s="115">
        <v>3.0</v>
      </c>
      <c r="C152" s="115">
        <v>0.3333333333333333</v>
      </c>
      <c r="D152" s="115">
        <v>0.0</v>
      </c>
      <c r="E152" s="115">
        <v>0.0</v>
      </c>
      <c r="F152" s="115">
        <v>0.3110764955576696</v>
      </c>
    </row>
    <row r="153" ht="14.25" customHeight="1">
      <c r="A153" s="115">
        <v>0.6353431297709924</v>
      </c>
      <c r="B153" s="115">
        <v>3.0</v>
      </c>
      <c r="C153" s="115">
        <v>0.5</v>
      </c>
      <c r="D153" s="115">
        <v>0.0</v>
      </c>
      <c r="E153" s="115">
        <v>0.03187083969465649</v>
      </c>
      <c r="F153" s="115">
        <v>0.12895110587102332</v>
      </c>
    </row>
    <row r="154" ht="14.25" customHeight="1">
      <c r="A154" s="115">
        <v>0.8309791861394058</v>
      </c>
      <c r="B154" s="115">
        <v>3.0</v>
      </c>
      <c r="C154" s="115">
        <v>0.42857142857142855</v>
      </c>
      <c r="D154" s="115">
        <v>0.2</v>
      </c>
      <c r="E154" s="115">
        <v>0.008468457940394528</v>
      </c>
      <c r="F154" s="115">
        <v>0.17476999692378525</v>
      </c>
    </row>
    <row r="155" ht="14.25" customHeight="1">
      <c r="A155" s="115">
        <v>0.5941960688506857</v>
      </c>
      <c r="B155" s="115">
        <v>3.0</v>
      </c>
      <c r="C155" s="115">
        <v>0.3333333333333333</v>
      </c>
      <c r="D155" s="115">
        <v>0.0</v>
      </c>
      <c r="E155" s="115">
        <v>0.0</v>
      </c>
      <c r="F155" s="115">
        <v>0.22450108411876632</v>
      </c>
    </row>
    <row r="156" ht="14.25" customHeight="1">
      <c r="A156" s="115">
        <v>0.976861010372425</v>
      </c>
      <c r="B156" s="115">
        <v>3.0</v>
      </c>
      <c r="C156" s="115">
        <v>0.4</v>
      </c>
      <c r="D156" s="115">
        <v>0.3333333333333333</v>
      </c>
      <c r="E156" s="115">
        <v>0.002897409914231767</v>
      </c>
      <c r="F156" s="115">
        <v>0.18475697708340086</v>
      </c>
    </row>
    <row r="157" ht="14.25" customHeight="1">
      <c r="A157" s="115">
        <v>0.8000000144349708</v>
      </c>
      <c r="B157" s="115">
        <v>3.0</v>
      </c>
      <c r="C157" s="115">
        <v>0.4</v>
      </c>
      <c r="D157" s="115">
        <v>0.25</v>
      </c>
      <c r="E157" s="115">
        <v>8.646547541107369E-5</v>
      </c>
      <c r="F157" s="115">
        <v>0.24086008461340166</v>
      </c>
    </row>
    <row r="158" ht="14.25" customHeight="1">
      <c r="A158" s="115">
        <v>0.7827771280483906</v>
      </c>
      <c r="B158" s="115">
        <v>3.0</v>
      </c>
      <c r="C158" s="115">
        <v>0.5</v>
      </c>
      <c r="D158" s="115">
        <v>0.0</v>
      </c>
      <c r="E158" s="115">
        <v>0.5450138462756426</v>
      </c>
      <c r="F158" s="115">
        <v>0.23427715212649547</v>
      </c>
    </row>
    <row r="159" ht="14.25" customHeight="1">
      <c r="A159" s="115">
        <v>0.4410805632868135</v>
      </c>
      <c r="B159" s="115">
        <v>3.0</v>
      </c>
      <c r="C159" s="115">
        <v>0.3333333333333333</v>
      </c>
      <c r="D159" s="115">
        <v>0.0</v>
      </c>
      <c r="E159" s="115">
        <v>0.0</v>
      </c>
      <c r="F159" s="115">
        <v>0.5044244945728579</v>
      </c>
    </row>
    <row r="160" ht="14.25" customHeight="1">
      <c r="A160" s="115">
        <v>0.9599087347313238</v>
      </c>
      <c r="B160" s="115">
        <v>3.0</v>
      </c>
      <c r="C160" s="115">
        <v>0.8333333333333334</v>
      </c>
      <c r="D160" s="115">
        <v>0.3333333333333333</v>
      </c>
      <c r="E160" s="115">
        <v>0.0</v>
      </c>
      <c r="F160" s="115">
        <v>0.22566329166996135</v>
      </c>
    </row>
    <row r="161" ht="14.25" customHeight="1">
      <c r="A161" s="115">
        <v>0.8494856887298747</v>
      </c>
      <c r="B161" s="115">
        <v>3.0</v>
      </c>
      <c r="C161" s="115">
        <v>0.4</v>
      </c>
      <c r="D161" s="115">
        <v>0.2</v>
      </c>
      <c r="E161" s="115">
        <v>0.0032253279666070362</v>
      </c>
      <c r="F161" s="115">
        <v>0.2248850341218782</v>
      </c>
    </row>
    <row r="162" ht="14.25" customHeight="1">
      <c r="A162" s="115">
        <v>0.6316000000876243</v>
      </c>
      <c r="B162" s="115">
        <v>3.0</v>
      </c>
      <c r="C162" s="115">
        <v>0.5</v>
      </c>
      <c r="D162" s="115">
        <v>0.0</v>
      </c>
      <c r="E162" s="115">
        <v>0.6319154914341136</v>
      </c>
      <c r="F162" s="115">
        <v>0.20709915457815176</v>
      </c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16</vt:i4>
      </vt:variant>
    </vt:vector>
  </HeadingPairs>
  <TitlesOfParts>
    <vt:vector baseType="lpstr" size="16">
      <vt:lpstr>Kriteria Sampel</vt:lpstr>
      <vt:lpstr>Laporan Tahunan</vt:lpstr>
      <vt:lpstr>Tidak Merugi</vt:lpstr>
      <vt:lpstr>Menyediakan Informasi</vt:lpstr>
      <vt:lpstr>Sampel</vt:lpstr>
      <vt:lpstr>Sampel Penelitian</vt:lpstr>
      <vt:lpstr>KI</vt:lpstr>
      <vt:lpstr>KA</vt:lpstr>
      <vt:lpstr>DKI</vt:lpstr>
      <vt:lpstr>KG</vt:lpstr>
      <vt:lpstr>KM</vt:lpstr>
      <vt:lpstr>ETR</vt:lpstr>
      <vt:lpstr>Hasil</vt:lpstr>
      <vt:lpstr>Revisi bu Eny_Hasil</vt:lpstr>
      <vt:lpstr>SPSS</vt:lpstr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2025-08-22T03:10:54Z</dcterms:created>
  <dc:creator>Zahra Safira</dc:creator>
  <cp:lastModifiedBy>HELMI</cp:lastModifiedBy>
  <dcterms:modified xsi:type="dcterms:W3CDTF">2026-06-07T11:03:42Z</dcterms:modified>
</cp:coreProperties>
</file>